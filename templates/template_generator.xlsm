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codeName="ThisWorkbook" defaultThemeVersion="124226"/>
  <bookViews>
    <workbookView xWindow="480" yWindow="105" windowWidth="27825" windowHeight="11895" activeTab="1"/>
  </bookViews>
  <sheets>
    <sheet name="Sheet1" sheetId="1" r:id="rId1"/>
    <sheet name="Template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H39" i="2" l="1"/>
  <c r="I39" i="2"/>
  <c r="J39" i="2"/>
  <c r="L39" i="2"/>
  <c r="G39" i="2"/>
  <c r="F64" i="2"/>
  <c r="F65" i="2"/>
  <c r="F66" i="2"/>
  <c r="F67" i="2"/>
  <c r="F68" i="2"/>
  <c r="F69" i="2"/>
  <c r="H22" i="2"/>
  <c r="I22" i="2"/>
  <c r="J22" i="2"/>
  <c r="K22" i="2"/>
  <c r="L22" i="2"/>
  <c r="G22" i="2"/>
  <c r="H21" i="2"/>
  <c r="I21" i="2"/>
  <c r="J21" i="2"/>
  <c r="K21" i="2"/>
  <c r="L21" i="2"/>
  <c r="G21" i="2"/>
  <c r="H20" i="2"/>
  <c r="I20" i="2"/>
  <c r="J20" i="2"/>
  <c r="L20" i="2"/>
  <c r="G20" i="2"/>
  <c r="H19" i="2"/>
  <c r="I19" i="2"/>
  <c r="J19" i="2"/>
  <c r="L19" i="2"/>
  <c r="G19" i="2"/>
  <c r="H18" i="2"/>
  <c r="I18" i="2"/>
  <c r="J18" i="2"/>
  <c r="L18" i="2"/>
  <c r="G18" i="2"/>
  <c r="H17" i="2"/>
  <c r="I17" i="2"/>
  <c r="J17" i="2"/>
  <c r="L17" i="2"/>
  <c r="G17" i="2"/>
  <c r="H16" i="2"/>
  <c r="I16" i="2"/>
  <c r="J16" i="2"/>
  <c r="L16" i="2"/>
  <c r="G16" i="2"/>
  <c r="K15" i="2"/>
  <c r="H15" i="2"/>
  <c r="I15" i="2"/>
  <c r="J15" i="2"/>
  <c r="L15" i="2"/>
  <c r="G15" i="2"/>
  <c r="W36" i="2"/>
  <c r="T36" i="2"/>
  <c r="X36" i="2"/>
  <c r="X13" i="2"/>
  <c r="W13" i="2"/>
  <c r="T13" i="2"/>
  <c r="H8" i="2"/>
  <c r="I8" i="2"/>
  <c r="J8" i="2"/>
  <c r="L8" i="2"/>
  <c r="G8" i="2"/>
  <c r="H11" i="2"/>
  <c r="I11" i="2"/>
  <c r="J11" i="2"/>
  <c r="L11" i="2"/>
  <c r="G11" i="2"/>
  <c r="H10" i="2"/>
  <c r="I10" i="2"/>
  <c r="J10" i="2"/>
  <c r="L10" i="2"/>
  <c r="G10" i="2"/>
  <c r="H9" i="2"/>
  <c r="I9" i="2"/>
  <c r="J9" i="2"/>
  <c r="L9" i="2"/>
  <c r="G9" i="2"/>
  <c r="H7" i="2"/>
  <c r="I7" i="2"/>
  <c r="J7" i="2"/>
  <c r="K7" i="2"/>
  <c r="K13" i="2" s="1"/>
  <c r="L7" i="2"/>
  <c r="G7" i="2"/>
  <c r="F60" i="2"/>
  <c r="F61" i="2"/>
  <c r="F62" i="2"/>
  <c r="F63" i="2"/>
  <c r="F70" i="2"/>
  <c r="F71" i="2"/>
  <c r="F72" i="2"/>
  <c r="F73" i="2"/>
  <c r="F74" i="2"/>
  <c r="F75" i="2"/>
  <c r="F76" i="2"/>
  <c r="F77" i="2"/>
  <c r="R60" i="2"/>
  <c r="R61" i="2"/>
  <c r="R62" i="2"/>
  <c r="R63" i="2"/>
  <c r="R65" i="2"/>
  <c r="R67" i="2"/>
  <c r="R68" i="2"/>
  <c r="R69" i="2"/>
  <c r="R70" i="2"/>
  <c r="R71" i="2"/>
  <c r="R72" i="2"/>
  <c r="R73" i="2"/>
  <c r="R74" i="2"/>
  <c r="R75" i="2"/>
  <c r="R76" i="2"/>
  <c r="R77" i="2"/>
  <c r="R52" i="2"/>
  <c r="R53" i="2"/>
  <c r="R54" i="2"/>
  <c r="R55" i="2"/>
  <c r="R59" i="2"/>
  <c r="F52" i="2"/>
  <c r="F53" i="2"/>
  <c r="F54" i="2"/>
  <c r="F55" i="2"/>
  <c r="F57" i="2"/>
  <c r="F58" i="2"/>
  <c r="F59" i="2"/>
  <c r="R40" i="2"/>
  <c r="R41" i="2"/>
  <c r="R42" i="2"/>
  <c r="R43" i="2"/>
  <c r="R44" i="2"/>
  <c r="R45" i="2"/>
  <c r="R49" i="2"/>
  <c r="R50" i="2"/>
  <c r="R51" i="2"/>
  <c r="F40" i="2"/>
  <c r="F41" i="2"/>
  <c r="F42" i="2"/>
  <c r="F43" i="2"/>
  <c r="F49" i="2"/>
  <c r="F50" i="2"/>
  <c r="F51" i="2"/>
  <c r="F17" i="2"/>
  <c r="F18" i="2"/>
  <c r="F19" i="2"/>
  <c r="F20" i="2"/>
  <c r="F21" i="2"/>
  <c r="F22" i="2"/>
  <c r="F39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9" i="2"/>
  <c r="F6" i="2"/>
  <c r="F7" i="2"/>
  <c r="F8" i="2"/>
  <c r="F9" i="2"/>
  <c r="F10" i="2"/>
  <c r="F11" i="2"/>
  <c r="F15" i="2"/>
  <c r="F16" i="2"/>
  <c r="F5" i="2"/>
  <c r="R6" i="2"/>
  <c r="R7" i="2"/>
  <c r="R8" i="2"/>
  <c r="R9" i="2"/>
  <c r="R10" i="2"/>
  <c r="R11" i="2"/>
  <c r="R15" i="2"/>
  <c r="R16" i="2"/>
  <c r="R5" i="2"/>
  <c r="H13" i="2" l="1"/>
  <c r="H36" i="2" s="1"/>
  <c r="K36" i="2"/>
  <c r="L36" i="2"/>
  <c r="L13" i="2"/>
</calcChain>
</file>

<file path=xl/sharedStrings.xml><?xml version="1.0" encoding="utf-8"?>
<sst xmlns="http://schemas.openxmlformats.org/spreadsheetml/2006/main" count="428" uniqueCount="120">
  <si>
    <t>gid</t>
  </si>
  <si>
    <t>Building</t>
  </si>
  <si>
    <t>Woodcutter</t>
  </si>
  <si>
    <t>Marketplace</t>
  </si>
  <si>
    <t>Earth Wall</t>
  </si>
  <si>
    <t>Clay Pit</t>
  </si>
  <si>
    <t>Embassy</t>
  </si>
  <si>
    <t>Palisade</t>
  </si>
  <si>
    <t>Iron Mine</t>
  </si>
  <si>
    <t>Barracks</t>
  </si>
  <si>
    <t>Cropland</t>
  </si>
  <si>
    <t>Stable</t>
  </si>
  <si>
    <t>Brewery</t>
  </si>
  <si>
    <t>Sawmill</t>
  </si>
  <si>
    <t>Workshop</t>
  </si>
  <si>
    <t>Trapper</t>
  </si>
  <si>
    <t>Brickyard</t>
  </si>
  <si>
    <t>Academy</t>
  </si>
  <si>
    <t>Iron Foundry</t>
  </si>
  <si>
    <t>Cranny</t>
  </si>
  <si>
    <t>Great Warehouse</t>
  </si>
  <si>
    <t>Grain Mill</t>
  </si>
  <si>
    <t>Town Hall</t>
  </si>
  <si>
    <t>Great Granary</t>
  </si>
  <si>
    <t>Bakery</t>
  </si>
  <si>
    <t>Residence</t>
  </si>
  <si>
    <t>Wonder of the World</t>
  </si>
  <si>
    <t>Warehouse</t>
  </si>
  <si>
    <t>Palace</t>
  </si>
  <si>
    <t>Horse Drinking Trough</t>
  </si>
  <si>
    <t>Granary</t>
  </si>
  <si>
    <t>Treasury</t>
  </si>
  <si>
    <t>Stone Wall</t>
  </si>
  <si>
    <t>Smithy</t>
  </si>
  <si>
    <t>Trade Office</t>
  </si>
  <si>
    <t>Command Center</t>
  </si>
  <si>
    <t>Tournament Square</t>
  </si>
  <si>
    <t>Great Barracks</t>
  </si>
  <si>
    <t>Makeshift Wall</t>
  </si>
  <si>
    <t>Main Building</t>
  </si>
  <si>
    <t>Great Stable</t>
  </si>
  <si>
    <t>Waterworks</t>
  </si>
  <si>
    <t>Rally Point</t>
  </si>
  <si>
    <t>City Wall</t>
  </si>
  <si>
    <t xml:space="preserve"> </t>
  </si>
  <si>
    <t>Field</t>
  </si>
  <si>
    <t>resources</t>
  </si>
  <si>
    <t>infrastructure</t>
  </si>
  <si>
    <t>military</t>
  </si>
  <si>
    <t>Hospital</t>
  </si>
  <si>
    <t>static</t>
  </si>
  <si>
    <t>Output</t>
  </si>
  <si>
    <t>Stonemasons Lodge</t>
  </si>
  <si>
    <t>Heros Mansion</t>
  </si>
  <si>
    <t>Fieldlist</t>
  </si>
  <si>
    <t>Townlist</t>
  </si>
  <si>
    <t>level</t>
  </si>
  <si>
    <t>spot</t>
  </si>
  <si>
    <t>field</t>
  </si>
  <si>
    <t>ID</t>
  </si>
  <si>
    <t>Order 15</t>
  </si>
  <si>
    <t>Order 35</t>
  </si>
  <si>
    <t>Order 47</t>
  </si>
  <si>
    <t>Order 55</t>
  </si>
  <si>
    <t>Order 63</t>
  </si>
  <si>
    <t>Order 65</t>
  </si>
  <si>
    <t>Buildtime</t>
  </si>
  <si>
    <t>Building Gid</t>
  </si>
  <si>
    <t>Building name</t>
  </si>
  <si>
    <t>Cost</t>
  </si>
  <si>
    <t>pop</t>
  </si>
  <si>
    <t>cp</t>
  </si>
  <si>
    <r>
      <t>1</t>
    </r>
    <r>
      <rPr>
        <sz val="7.5"/>
        <color theme="1"/>
        <rFont val="Calibri"/>
        <family val="2"/>
        <scheme val="minor"/>
      </rPr>
      <t>[0]</t>
    </r>
  </si>
  <si>
    <r>
      <t>1</t>
    </r>
    <r>
      <rPr>
        <sz val="7.5"/>
        <color theme="1"/>
        <rFont val="Calibri"/>
        <family val="2"/>
        <scheme val="minor"/>
      </rPr>
      <t>[1]</t>
    </r>
  </si>
  <si>
    <r>
      <t>1</t>
    </r>
    <r>
      <rPr>
        <sz val="7.5"/>
        <color theme="1"/>
        <rFont val="Calibri"/>
        <family val="2"/>
        <scheme val="minor"/>
      </rPr>
      <t>[3]</t>
    </r>
  </si>
  <si>
    <r>
      <t>1</t>
    </r>
    <r>
      <rPr>
        <sz val="7.5"/>
        <color theme="1"/>
        <rFont val="Calibri"/>
        <family val="2"/>
        <scheme val="minor"/>
      </rPr>
      <t>[5]</t>
    </r>
  </si>
  <si>
    <r>
      <t>1</t>
    </r>
    <r>
      <rPr>
        <sz val="7.5"/>
        <color theme="1"/>
        <rFont val="Calibri"/>
        <family val="2"/>
        <scheme val="minor"/>
      </rPr>
      <t>[2]</t>
    </r>
  </si>
  <si>
    <r>
      <t>1</t>
    </r>
    <r>
      <rPr>
        <sz val="7.5"/>
        <color theme="1"/>
        <rFont val="Calibri"/>
        <family val="2"/>
        <scheme val="minor"/>
      </rPr>
      <t>[7]</t>
    </r>
  </si>
  <si>
    <t>Pop</t>
  </si>
  <si>
    <t>Cp</t>
  </si>
  <si>
    <r>
      <t>1</t>
    </r>
    <r>
      <rPr>
        <sz val="7.5"/>
        <color theme="1"/>
        <rFont val="Calibri"/>
        <family val="2"/>
        <scheme val="minor"/>
      </rPr>
      <t>[9]</t>
    </r>
  </si>
  <si>
    <r>
      <t>1</t>
    </r>
    <r>
      <rPr>
        <sz val="7.5"/>
        <color theme="1"/>
        <rFont val="Calibri"/>
        <family val="2"/>
        <scheme val="minor"/>
      </rPr>
      <t>[12]</t>
    </r>
  </si>
  <si>
    <r>
      <t>1</t>
    </r>
    <r>
      <rPr>
        <sz val="7.5"/>
        <color theme="1"/>
        <rFont val="Calibri"/>
        <family val="2"/>
        <scheme val="minor"/>
      </rPr>
      <t>[14]</t>
    </r>
  </si>
  <si>
    <r>
      <t>1</t>
    </r>
    <r>
      <rPr>
        <sz val="7.5"/>
        <color theme="1"/>
        <rFont val="Calibri"/>
        <family val="2"/>
        <scheme val="minor"/>
      </rPr>
      <t>[17]</t>
    </r>
  </si>
  <si>
    <r>
      <t>1</t>
    </r>
    <r>
      <rPr>
        <sz val="7.5"/>
        <color theme="1"/>
        <rFont val="Calibri"/>
        <family val="2"/>
        <scheme val="minor"/>
      </rPr>
      <t>[20]</t>
    </r>
  </si>
  <si>
    <r>
      <t>2</t>
    </r>
    <r>
      <rPr>
        <sz val="7.5"/>
        <color theme="1"/>
        <rFont val="Calibri"/>
        <family val="2"/>
        <scheme val="minor"/>
      </rPr>
      <t>[17]</t>
    </r>
  </si>
  <si>
    <r>
      <t>1</t>
    </r>
    <r>
      <rPr>
        <sz val="7.5"/>
        <color theme="1"/>
        <rFont val="Calibri"/>
        <family val="2"/>
        <scheme val="minor"/>
      </rPr>
      <t>[15]</t>
    </r>
  </si>
  <si>
    <r>
      <t>3</t>
    </r>
    <r>
      <rPr>
        <sz val="7.5"/>
        <color theme="1"/>
        <rFont val="Calibri"/>
        <family val="2"/>
        <scheme val="minor"/>
      </rPr>
      <t>[16]</t>
    </r>
  </si>
  <si>
    <r>
      <t>5</t>
    </r>
    <r>
      <rPr>
        <sz val="7.5"/>
        <color theme="1"/>
        <rFont val="Calibri"/>
        <family val="2"/>
        <scheme val="minor"/>
      </rPr>
      <t>[9]</t>
    </r>
  </si>
  <si>
    <r>
      <t>7</t>
    </r>
    <r>
      <rPr>
        <sz val="7.5"/>
        <color theme="1"/>
        <rFont val="Calibri"/>
        <family val="2"/>
        <scheme val="minor"/>
      </rPr>
      <t>[0]</t>
    </r>
  </si>
  <si>
    <r>
      <t>12</t>
    </r>
    <r>
      <rPr>
        <sz val="7.5"/>
        <color theme="1"/>
        <rFont val="Calibri"/>
        <family val="2"/>
        <scheme val="minor"/>
      </rPr>
      <t>[17]</t>
    </r>
  </si>
  <si>
    <r>
      <t>3</t>
    </r>
    <r>
      <rPr>
        <sz val="7.5"/>
        <color theme="1"/>
        <rFont val="Calibri"/>
        <family val="2"/>
        <scheme val="minor"/>
      </rPr>
      <t>[17]</t>
    </r>
  </si>
  <si>
    <r>
      <t>20</t>
    </r>
    <r>
      <rPr>
        <sz val="7.5"/>
        <color theme="1"/>
        <rFont val="Calibri"/>
        <family val="2"/>
        <scheme val="minor"/>
      </rPr>
      <t>[11]</t>
    </r>
  </si>
  <si>
    <r>
      <t>5</t>
    </r>
    <r>
      <rPr>
        <sz val="7.5"/>
        <color theme="1"/>
        <rFont val="Calibri"/>
        <family val="2"/>
        <scheme val="minor"/>
      </rPr>
      <t>[13]</t>
    </r>
  </si>
  <si>
    <r>
      <t>1</t>
    </r>
    <r>
      <rPr>
        <sz val="7.5"/>
        <color theme="1"/>
        <rFont val="Calibri"/>
        <family val="2"/>
        <scheme val="minor"/>
      </rPr>
      <t>[4]</t>
    </r>
  </si>
  <si>
    <r>
      <t>1</t>
    </r>
    <r>
      <rPr>
        <sz val="7.5"/>
        <color theme="1"/>
        <rFont val="Calibri"/>
        <family val="2"/>
        <scheme val="minor"/>
      </rPr>
      <t>[6]</t>
    </r>
  </si>
  <si>
    <r>
      <t>1</t>
    </r>
    <r>
      <rPr>
        <sz val="7.5"/>
        <color theme="1"/>
        <rFont val="Calibri"/>
        <family val="2"/>
        <scheme val="minor"/>
      </rPr>
      <t>[11]</t>
    </r>
  </si>
  <si>
    <r>
      <t>1</t>
    </r>
    <r>
      <rPr>
        <sz val="7.5"/>
        <color theme="1"/>
        <rFont val="Calibri"/>
        <family val="2"/>
        <scheme val="minor"/>
      </rPr>
      <t>[16]</t>
    </r>
  </si>
  <si>
    <r>
      <t>1</t>
    </r>
    <r>
      <rPr>
        <sz val="7.5"/>
        <color theme="1"/>
        <rFont val="Calibri"/>
        <family val="2"/>
        <scheme val="minor"/>
      </rPr>
      <t>[19]</t>
    </r>
  </si>
  <si>
    <r>
      <t>2</t>
    </r>
    <r>
      <rPr>
        <sz val="7.5"/>
        <color theme="1"/>
        <rFont val="Calibri"/>
        <family val="2"/>
        <scheme val="minor"/>
      </rPr>
      <t>[14]</t>
    </r>
  </si>
  <si>
    <r>
      <t>3</t>
    </r>
    <r>
      <rPr>
        <sz val="7.5"/>
        <color theme="1"/>
        <rFont val="Calibri"/>
        <family val="2"/>
        <scheme val="minor"/>
      </rPr>
      <t>[12]</t>
    </r>
  </si>
  <si>
    <r>
      <t>2</t>
    </r>
    <r>
      <rPr>
        <sz val="7.5"/>
        <color theme="1"/>
        <rFont val="Calibri"/>
        <family val="2"/>
        <scheme val="minor"/>
      </rPr>
      <t>[15]</t>
    </r>
  </si>
  <si>
    <r>
      <t>4</t>
    </r>
    <r>
      <rPr>
        <sz val="7.5"/>
        <color theme="1"/>
        <rFont val="Calibri"/>
        <family val="2"/>
        <scheme val="minor"/>
      </rPr>
      <t>[18]</t>
    </r>
  </si>
  <si>
    <r>
      <t>3</t>
    </r>
    <r>
      <rPr>
        <sz val="7.5"/>
        <color theme="1"/>
        <rFont val="Calibri"/>
        <family val="2"/>
        <scheme val="minor"/>
      </rPr>
      <t>[14]</t>
    </r>
  </si>
  <si>
    <r>
      <t>7</t>
    </r>
    <r>
      <rPr>
        <sz val="7.5"/>
        <color theme="1"/>
        <rFont val="Calibri"/>
        <family val="2"/>
        <scheme val="minor"/>
      </rPr>
      <t>[9]</t>
    </r>
  </si>
  <si>
    <r>
      <t>4</t>
    </r>
    <r>
      <rPr>
        <sz val="7.5"/>
        <color theme="1"/>
        <rFont val="Calibri"/>
        <family val="2"/>
        <scheme val="minor"/>
      </rPr>
      <t>[19]</t>
    </r>
  </si>
  <si>
    <r>
      <t>11</t>
    </r>
    <r>
      <rPr>
        <sz val="7.5"/>
        <color theme="1"/>
        <rFont val="Calibri"/>
        <family val="2"/>
        <scheme val="minor"/>
      </rPr>
      <t>[12]</t>
    </r>
  </si>
  <si>
    <r>
      <t>7</t>
    </r>
    <r>
      <rPr>
        <sz val="7.5"/>
        <color theme="1"/>
        <rFont val="Calibri"/>
        <family val="2"/>
        <scheme val="minor"/>
      </rPr>
      <t>[15]</t>
    </r>
  </si>
  <si>
    <r>
      <t>18</t>
    </r>
    <r>
      <rPr>
        <sz val="7.5"/>
        <color theme="1"/>
        <rFont val="Calibri"/>
        <family val="2"/>
        <scheme val="minor"/>
      </rPr>
      <t>[5]</t>
    </r>
  </si>
  <si>
    <r>
      <t>11</t>
    </r>
    <r>
      <rPr>
        <sz val="7.5"/>
        <color theme="1"/>
        <rFont val="Calibri"/>
        <family val="2"/>
        <scheme val="minor"/>
      </rPr>
      <t>[18]</t>
    </r>
  </si>
  <si>
    <r>
      <t>1</t>
    </r>
    <r>
      <rPr>
        <sz val="7.5"/>
        <color theme="1"/>
        <rFont val="Calibri"/>
        <family val="2"/>
        <scheme val="minor"/>
      </rPr>
      <t>[10]</t>
    </r>
  </si>
  <si>
    <r>
      <t>1</t>
    </r>
    <r>
      <rPr>
        <sz val="7.5"/>
        <color theme="1"/>
        <rFont val="Calibri"/>
        <family val="2"/>
        <scheme val="minor"/>
      </rPr>
      <t>[18]</t>
    </r>
  </si>
  <si>
    <r>
      <t>2</t>
    </r>
    <r>
      <rPr>
        <sz val="7.5"/>
        <color theme="1"/>
        <rFont val="Calibri"/>
        <family val="2"/>
        <scheme val="minor"/>
      </rPr>
      <t>[18]</t>
    </r>
  </si>
  <si>
    <r>
      <t>3</t>
    </r>
    <r>
      <rPr>
        <sz val="7.5"/>
        <color theme="1"/>
        <rFont val="Calibri"/>
        <family val="2"/>
        <scheme val="minor"/>
      </rPr>
      <t>[19]</t>
    </r>
  </si>
  <si>
    <r>
      <t>5</t>
    </r>
    <r>
      <rPr>
        <sz val="7.5"/>
        <color theme="1"/>
        <rFont val="Calibri"/>
        <family val="2"/>
        <scheme val="minor"/>
      </rPr>
      <t>[18]</t>
    </r>
  </si>
  <si>
    <r>
      <t>8</t>
    </r>
    <r>
      <rPr>
        <sz val="7.5"/>
        <color theme="1"/>
        <rFont val="Calibri"/>
        <family val="2"/>
        <scheme val="minor"/>
      </rPr>
      <t>[18]</t>
    </r>
  </si>
  <si>
    <r>
      <t>13</t>
    </r>
    <r>
      <rPr>
        <sz val="7.5"/>
        <color theme="1"/>
        <rFont val="Calibri"/>
        <family val="2"/>
        <scheme val="minor"/>
      </rPr>
      <t>[19]</t>
    </r>
  </si>
  <si>
    <r>
      <t>22</t>
    </r>
    <r>
      <rPr>
        <sz val="7.5"/>
        <color theme="1"/>
        <rFont val="Calibri"/>
        <family val="2"/>
        <scheme val="minor"/>
      </rPr>
      <t>[14]</t>
    </r>
  </si>
  <si>
    <t>All Fields</t>
  </si>
  <si>
    <t>{5:['Sawmill','resources'],6:['Brickyard','resources'],7:['Iron Foundry','resources'],8:['Grain Mill','resources'],9:['Bakery','resources'],10:['Warehouse','infrastructure'],11:['Granary','infrastructure'],13:['Smithy','military'],14:['Tournament Square','military'],15:['Main Building','infrastructure'],16:['Rally Point','static'],17:['Marketplace','infrastructure'],18:['Embassy','infrastructure'],19:['Barracks','military'],20:['Stable','military'],21:['Workshop','military'],22:['Academy','military'],23:['Cranny','infrastructure'],24:['Town Hall','infrastructure'],25:['Residence','infrastructure'],26:['Palace','infrastructure'],27:['Treasury','infrastructure'],28:['Trade Office','infrastructure'],29:['Great Barracks','military'],30:['Great Stable','military'],31:['City Wall','military'],32:['Earth Wall','military'],33:['Palisade','military'],34:['Stonemasons Lodge','infrastructure'],35:['Brewery','infrastructure'],36:['Trapper','military'],37:['Heros Mansion','military'],38:['Great Warehouse','infrastructure'],39:['Great Granary','infrastructure'],40:['Wonder of the World','infrastructure'],41:['Horse Drinking Trough','infrastructure'],42:['Stone Wall','military'],43:['Command Center','infrastructure'],44:['Makeshift Wall','military'],45:['Waterworks','resources'],46:['Hospital','military']}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</si>
</sst>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hh:mm:ss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7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165" fontId="0" fillId="0" borderId="0" xfId="0" applyNumberFormat="1"/>
    <xf numFmtId="0" fontId="0" fillId="0" borderId="0" xfId="0" applyAlignment="1">
      <alignment vertical="center" wrapText="1"/>
    </xf>
    <xf numFmtId="21" fontId="0" fillId="0" borderId="0" xfId="0" applyNumberFormat="1" applyAlignment="1">
      <alignment vertical="center" wrapText="1"/>
    </xf>
    <xf numFmtId="46" fontId="0" fillId="0" borderId="0" xfId="0" applyNumberFormat="1" applyAlignment="1">
      <alignment vertical="center" wrapText="1"/>
    </xf>
    <xf numFmtId="0" fontId="1" fillId="0" borderId="0" xfId="0" applyFont="1"/>
    <xf numFmtId="165" fontId="1" fillId="0" borderId="0" xfId="0" applyNumberFormat="1" applyFont="1"/>
    <xf numFmtId="0" fontId="0" fillId="0" borderId="0" xfId="0" applyFont="1"/>
    <xf numFmtId="46" fontId="0" fillId="0" borderId="0" xfId="0" applyNumberFormat="1" applyFont="1"/>
    <xf numFmtId="165" fontId="0" fillId="0" borderId="0" xfId="0" applyNumberFormat="1" applyFont="1"/>
    <xf numFmtId="0" fontId="1" fillId="0" borderId="0" xfId="0" applyFont="1" applyAlignment="1">
      <alignment vertical="center" wrapText="1"/>
    </xf>
    <xf numFmtId="21" fontId="1" fillId="0" borderId="0" xfId="0" applyNumberFormat="1" applyFont="1" applyAlignment="1">
      <alignment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69"/>
  <sheetViews>
    <sheetView workbookViewId="0">
      <selection activeCell="M10" sqref="M10"/>
    </sheetView>
  </sheetViews>
  <sheetFormatPr defaultRowHeight="15" x14ac:dyDescent="0.25"/>
  <cols>
    <col min="3" max="3" width="17.85546875" bestFit="1" customWidth="1"/>
    <col min="4" max="4" width="13.28515625" bestFit="1" customWidth="1"/>
  </cols>
  <sheetData>
    <row r="1" spans="2:8" x14ac:dyDescent="0.25">
      <c r="G1" t="s">
        <v>51</v>
      </c>
      <c r="H1" t="s">
        <v>119</v>
      </c>
    </row>
    <row r="2" spans="2:8" x14ac:dyDescent="0.25">
      <c r="B2" t="s">
        <v>0</v>
      </c>
      <c r="C2" t="s">
        <v>1</v>
      </c>
      <c r="D2" t="s">
        <v>44</v>
      </c>
    </row>
    <row r="3" spans="2:8" x14ac:dyDescent="0.25">
      <c r="B3">
        <v>1</v>
      </c>
      <c r="C3" t="s">
        <v>2</v>
      </c>
      <c r="D3" t="s">
        <v>58</v>
      </c>
    </row>
    <row r="4" spans="2:8" x14ac:dyDescent="0.25">
      <c r="B4">
        <v>2</v>
      </c>
      <c r="C4" t="s">
        <v>5</v>
      </c>
      <c r="D4" t="s">
        <v>58</v>
      </c>
      <c r="G4" t="s">
        <v>44</v>
      </c>
    </row>
    <row r="5" spans="2:8" x14ac:dyDescent="0.25">
      <c r="B5">
        <v>3</v>
      </c>
      <c r="C5" t="s">
        <v>8</v>
      </c>
      <c r="D5" t="s">
        <v>58</v>
      </c>
      <c r="G5" t="s">
        <v>44</v>
      </c>
    </row>
    <row r="6" spans="2:8" x14ac:dyDescent="0.25">
      <c r="B6">
        <v>4</v>
      </c>
      <c r="C6" t="s">
        <v>10</v>
      </c>
      <c r="D6" t="s">
        <v>58</v>
      </c>
      <c r="G6" t="s">
        <v>44</v>
      </c>
    </row>
    <row r="7" spans="2:8" x14ac:dyDescent="0.25">
      <c r="B7">
        <v>5</v>
      </c>
      <c r="C7" t="s">
        <v>13</v>
      </c>
      <c r="D7" t="s">
        <v>46</v>
      </c>
      <c r="G7" t="s">
        <v>44</v>
      </c>
    </row>
    <row r="8" spans="2:8" x14ac:dyDescent="0.25">
      <c r="B8">
        <v>6</v>
      </c>
      <c r="C8" t="s">
        <v>16</v>
      </c>
      <c r="D8" t="s">
        <v>46</v>
      </c>
      <c r="G8" t="s">
        <v>44</v>
      </c>
    </row>
    <row r="9" spans="2:8" x14ac:dyDescent="0.25">
      <c r="B9">
        <v>7</v>
      </c>
      <c r="C9" t="s">
        <v>18</v>
      </c>
      <c r="D9" t="s">
        <v>46</v>
      </c>
      <c r="G9" t="s">
        <v>44</v>
      </c>
    </row>
    <row r="10" spans="2:8" x14ac:dyDescent="0.25">
      <c r="B10">
        <v>8</v>
      </c>
      <c r="C10" t="s">
        <v>21</v>
      </c>
      <c r="D10" t="s">
        <v>46</v>
      </c>
      <c r="G10" t="s">
        <v>44</v>
      </c>
    </row>
    <row r="11" spans="2:8" x14ac:dyDescent="0.25">
      <c r="B11">
        <v>9</v>
      </c>
      <c r="C11" t="s">
        <v>24</v>
      </c>
      <c r="D11" t="s">
        <v>46</v>
      </c>
      <c r="G11" t="s">
        <v>44</v>
      </c>
    </row>
    <row r="12" spans="2:8" x14ac:dyDescent="0.25">
      <c r="B12">
        <v>10</v>
      </c>
      <c r="C12" t="s">
        <v>27</v>
      </c>
      <c r="D12" t="s">
        <v>47</v>
      </c>
      <c r="G12" t="s">
        <v>44</v>
      </c>
    </row>
    <row r="13" spans="2:8" x14ac:dyDescent="0.25">
      <c r="B13">
        <v>11</v>
      </c>
      <c r="C13" t="s">
        <v>30</v>
      </c>
      <c r="D13" t="s">
        <v>47</v>
      </c>
      <c r="G13" t="s">
        <v>44</v>
      </c>
    </row>
    <row r="14" spans="2:8" x14ac:dyDescent="0.25">
      <c r="B14">
        <v>13</v>
      </c>
      <c r="C14" t="s">
        <v>33</v>
      </c>
      <c r="D14" t="s">
        <v>48</v>
      </c>
      <c r="G14" t="s">
        <v>44</v>
      </c>
    </row>
    <row r="15" spans="2:8" x14ac:dyDescent="0.25">
      <c r="B15">
        <v>14</v>
      </c>
      <c r="C15" t="s">
        <v>36</v>
      </c>
      <c r="D15" t="s">
        <v>48</v>
      </c>
      <c r="G15" t="s">
        <v>44</v>
      </c>
    </row>
    <row r="16" spans="2:8" x14ac:dyDescent="0.25">
      <c r="B16">
        <v>15</v>
      </c>
      <c r="C16" t="s">
        <v>39</v>
      </c>
      <c r="D16" t="s">
        <v>47</v>
      </c>
      <c r="G16" t="s">
        <v>44</v>
      </c>
    </row>
    <row r="17" spans="2:7" x14ac:dyDescent="0.25">
      <c r="B17">
        <v>16</v>
      </c>
      <c r="C17" t="s">
        <v>42</v>
      </c>
      <c r="D17" t="s">
        <v>50</v>
      </c>
      <c r="G17" t="s">
        <v>44</v>
      </c>
    </row>
    <row r="18" spans="2:7" x14ac:dyDescent="0.25">
      <c r="B18">
        <v>17</v>
      </c>
      <c r="C18" t="s">
        <v>3</v>
      </c>
      <c r="D18" t="s">
        <v>47</v>
      </c>
    </row>
    <row r="19" spans="2:7" x14ac:dyDescent="0.25">
      <c r="B19">
        <v>18</v>
      </c>
      <c r="C19" t="s">
        <v>6</v>
      </c>
      <c r="D19" t="s">
        <v>47</v>
      </c>
    </row>
    <row r="20" spans="2:7" x14ac:dyDescent="0.25">
      <c r="B20">
        <v>19</v>
      </c>
      <c r="C20" t="s">
        <v>9</v>
      </c>
      <c r="D20" t="s">
        <v>48</v>
      </c>
    </row>
    <row r="21" spans="2:7" x14ac:dyDescent="0.25">
      <c r="B21">
        <v>20</v>
      </c>
      <c r="C21" t="s">
        <v>11</v>
      </c>
      <c r="D21" t="s">
        <v>48</v>
      </c>
    </row>
    <row r="22" spans="2:7" x14ac:dyDescent="0.25">
      <c r="B22">
        <v>21</v>
      </c>
      <c r="C22" t="s">
        <v>14</v>
      </c>
      <c r="D22" t="s">
        <v>48</v>
      </c>
    </row>
    <row r="23" spans="2:7" x14ac:dyDescent="0.25">
      <c r="B23">
        <v>22</v>
      </c>
      <c r="C23" t="s">
        <v>17</v>
      </c>
      <c r="D23" t="s">
        <v>48</v>
      </c>
    </row>
    <row r="24" spans="2:7" x14ac:dyDescent="0.25">
      <c r="B24">
        <v>23</v>
      </c>
      <c r="C24" t="s">
        <v>19</v>
      </c>
      <c r="D24" t="s">
        <v>47</v>
      </c>
    </row>
    <row r="25" spans="2:7" x14ac:dyDescent="0.25">
      <c r="B25">
        <v>24</v>
      </c>
      <c r="C25" t="s">
        <v>22</v>
      </c>
      <c r="D25" t="s">
        <v>47</v>
      </c>
    </row>
    <row r="26" spans="2:7" x14ac:dyDescent="0.25">
      <c r="B26">
        <v>25</v>
      </c>
      <c r="C26" t="s">
        <v>25</v>
      </c>
      <c r="D26" t="s">
        <v>47</v>
      </c>
    </row>
    <row r="27" spans="2:7" x14ac:dyDescent="0.25">
      <c r="B27">
        <v>26</v>
      </c>
      <c r="C27" t="s">
        <v>28</v>
      </c>
      <c r="D27" t="s">
        <v>47</v>
      </c>
    </row>
    <row r="28" spans="2:7" x14ac:dyDescent="0.25">
      <c r="B28">
        <v>27</v>
      </c>
      <c r="C28" t="s">
        <v>31</v>
      </c>
      <c r="D28" t="s">
        <v>47</v>
      </c>
    </row>
    <row r="29" spans="2:7" x14ac:dyDescent="0.25">
      <c r="B29">
        <v>28</v>
      </c>
      <c r="C29" t="s">
        <v>34</v>
      </c>
      <c r="D29" t="s">
        <v>47</v>
      </c>
    </row>
    <row r="30" spans="2:7" x14ac:dyDescent="0.25">
      <c r="B30">
        <v>29</v>
      </c>
      <c r="C30" t="s">
        <v>37</v>
      </c>
      <c r="D30" t="s">
        <v>48</v>
      </c>
    </row>
    <row r="31" spans="2:7" x14ac:dyDescent="0.25">
      <c r="B31">
        <v>30</v>
      </c>
      <c r="C31" t="s">
        <v>40</v>
      </c>
      <c r="D31" t="s">
        <v>48</v>
      </c>
    </row>
    <row r="32" spans="2:7" x14ac:dyDescent="0.25">
      <c r="B32">
        <v>31</v>
      </c>
      <c r="C32" t="s">
        <v>43</v>
      </c>
      <c r="D32" t="s">
        <v>48</v>
      </c>
    </row>
    <row r="33" spans="2:4" x14ac:dyDescent="0.25">
      <c r="B33">
        <v>32</v>
      </c>
      <c r="C33" t="s">
        <v>4</v>
      </c>
      <c r="D33" t="s">
        <v>48</v>
      </c>
    </row>
    <row r="34" spans="2:4" x14ac:dyDescent="0.25">
      <c r="B34">
        <v>33</v>
      </c>
      <c r="C34" t="s">
        <v>7</v>
      </c>
      <c r="D34" t="s">
        <v>48</v>
      </c>
    </row>
    <row r="35" spans="2:4" x14ac:dyDescent="0.25">
      <c r="B35">
        <v>34</v>
      </c>
      <c r="C35" t="s">
        <v>52</v>
      </c>
      <c r="D35" t="s">
        <v>47</v>
      </c>
    </row>
    <row r="36" spans="2:4" x14ac:dyDescent="0.25">
      <c r="B36">
        <v>35</v>
      </c>
      <c r="C36" t="s">
        <v>12</v>
      </c>
      <c r="D36" t="s">
        <v>47</v>
      </c>
    </row>
    <row r="37" spans="2:4" x14ac:dyDescent="0.25">
      <c r="B37">
        <v>36</v>
      </c>
      <c r="C37" t="s">
        <v>15</v>
      </c>
      <c r="D37" t="s">
        <v>48</v>
      </c>
    </row>
    <row r="38" spans="2:4" x14ac:dyDescent="0.25">
      <c r="B38">
        <v>37</v>
      </c>
      <c r="C38" t="s">
        <v>53</v>
      </c>
      <c r="D38" t="s">
        <v>48</v>
      </c>
    </row>
    <row r="39" spans="2:4" x14ac:dyDescent="0.25">
      <c r="B39">
        <v>38</v>
      </c>
      <c r="C39" t="s">
        <v>20</v>
      </c>
      <c r="D39" t="s">
        <v>47</v>
      </c>
    </row>
    <row r="40" spans="2:4" x14ac:dyDescent="0.25">
      <c r="B40">
        <v>39</v>
      </c>
      <c r="C40" t="s">
        <v>23</v>
      </c>
      <c r="D40" t="s">
        <v>47</v>
      </c>
    </row>
    <row r="41" spans="2:4" x14ac:dyDescent="0.25">
      <c r="B41">
        <v>40</v>
      </c>
      <c r="C41" t="s">
        <v>26</v>
      </c>
      <c r="D41" t="s">
        <v>47</v>
      </c>
    </row>
    <row r="42" spans="2:4" x14ac:dyDescent="0.25">
      <c r="B42">
        <v>41</v>
      </c>
      <c r="C42" t="s">
        <v>29</v>
      </c>
      <c r="D42" t="s">
        <v>47</v>
      </c>
    </row>
    <row r="43" spans="2:4" x14ac:dyDescent="0.25">
      <c r="B43">
        <v>42</v>
      </c>
      <c r="C43" t="s">
        <v>32</v>
      </c>
      <c r="D43" t="s">
        <v>48</v>
      </c>
    </row>
    <row r="44" spans="2:4" x14ac:dyDescent="0.25">
      <c r="B44">
        <v>43</v>
      </c>
      <c r="C44" t="s">
        <v>35</v>
      </c>
      <c r="D44" t="s">
        <v>47</v>
      </c>
    </row>
    <row r="45" spans="2:4" x14ac:dyDescent="0.25">
      <c r="B45">
        <v>44</v>
      </c>
      <c r="C45" t="s">
        <v>38</v>
      </c>
      <c r="D45" t="s">
        <v>48</v>
      </c>
    </row>
    <row r="46" spans="2:4" x14ac:dyDescent="0.25">
      <c r="B46">
        <v>45</v>
      </c>
      <c r="C46" t="s">
        <v>41</v>
      </c>
      <c r="D46" t="s">
        <v>46</v>
      </c>
    </row>
    <row r="47" spans="2:4" x14ac:dyDescent="0.25">
      <c r="B47">
        <v>46</v>
      </c>
      <c r="C47" t="s">
        <v>49</v>
      </c>
      <c r="D47" t="s">
        <v>48</v>
      </c>
    </row>
    <row r="51" spans="2:3" x14ac:dyDescent="0.25">
      <c r="B51" t="s">
        <v>59</v>
      </c>
    </row>
    <row r="52" spans="2:3" x14ac:dyDescent="0.25">
      <c r="B52">
        <v>1</v>
      </c>
      <c r="C52" t="s">
        <v>2</v>
      </c>
    </row>
    <row r="53" spans="2:3" x14ac:dyDescent="0.25">
      <c r="B53">
        <v>2</v>
      </c>
      <c r="C53" t="s">
        <v>10</v>
      </c>
    </row>
    <row r="54" spans="2:3" x14ac:dyDescent="0.25">
      <c r="B54">
        <v>3</v>
      </c>
      <c r="C54" t="s">
        <v>2</v>
      </c>
    </row>
    <row r="55" spans="2:3" x14ac:dyDescent="0.25">
      <c r="B55">
        <v>4</v>
      </c>
      <c r="C55" t="s">
        <v>8</v>
      </c>
    </row>
    <row r="56" spans="2:3" x14ac:dyDescent="0.25">
      <c r="B56">
        <v>5</v>
      </c>
      <c r="C56" t="s">
        <v>5</v>
      </c>
    </row>
    <row r="57" spans="2:3" x14ac:dyDescent="0.25">
      <c r="B57">
        <v>6</v>
      </c>
      <c r="C57" t="s">
        <v>5</v>
      </c>
    </row>
    <row r="58" spans="2:3" x14ac:dyDescent="0.25">
      <c r="B58">
        <v>7</v>
      </c>
      <c r="C58" t="s">
        <v>8</v>
      </c>
    </row>
    <row r="59" spans="2:3" x14ac:dyDescent="0.25">
      <c r="B59">
        <v>8</v>
      </c>
      <c r="C59" t="s">
        <v>10</v>
      </c>
    </row>
    <row r="60" spans="2:3" x14ac:dyDescent="0.25">
      <c r="B60">
        <v>9</v>
      </c>
      <c r="C60" t="s">
        <v>10</v>
      </c>
    </row>
    <row r="61" spans="2:3" x14ac:dyDescent="0.25">
      <c r="B61">
        <v>10</v>
      </c>
      <c r="C61" t="s">
        <v>8</v>
      </c>
    </row>
    <row r="62" spans="2:3" x14ac:dyDescent="0.25">
      <c r="B62">
        <v>11</v>
      </c>
      <c r="C62" t="s">
        <v>8</v>
      </c>
    </row>
    <row r="63" spans="2:3" x14ac:dyDescent="0.25">
      <c r="B63">
        <v>12</v>
      </c>
      <c r="C63" t="s">
        <v>10</v>
      </c>
    </row>
    <row r="64" spans="2:3" x14ac:dyDescent="0.25">
      <c r="B64">
        <v>13</v>
      </c>
      <c r="C64" t="s">
        <v>10</v>
      </c>
    </row>
    <row r="65" spans="2:3" x14ac:dyDescent="0.25">
      <c r="B65">
        <v>14</v>
      </c>
      <c r="C65" t="s">
        <v>2</v>
      </c>
    </row>
    <row r="66" spans="2:3" x14ac:dyDescent="0.25">
      <c r="B66">
        <v>15</v>
      </c>
      <c r="C66" t="s">
        <v>10</v>
      </c>
    </row>
    <row r="67" spans="2:3" x14ac:dyDescent="0.25">
      <c r="B67">
        <v>16</v>
      </c>
      <c r="C67" t="s">
        <v>5</v>
      </c>
    </row>
    <row r="68" spans="2:3" x14ac:dyDescent="0.25">
      <c r="B68">
        <v>17</v>
      </c>
      <c r="C68" t="s">
        <v>2</v>
      </c>
    </row>
    <row r="69" spans="2:3" x14ac:dyDescent="0.25">
      <c r="B69">
        <v>18</v>
      </c>
      <c r="C69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AB77"/>
  <sheetViews>
    <sheetView tabSelected="1" workbookViewId="0">
      <selection activeCell="O5" sqref="O5"/>
    </sheetView>
  </sheetViews>
  <sheetFormatPr defaultRowHeight="15" x14ac:dyDescent="0.25"/>
  <cols>
    <col min="4" max="4" width="11.5703125" bestFit="1" customWidth="1"/>
    <col min="6" max="6" width="11.5703125" bestFit="1" customWidth="1"/>
    <col min="7" max="11" width="11.5703125" customWidth="1"/>
    <col min="12" max="12" width="9.7109375" bestFit="1" customWidth="1"/>
    <col min="17" max="17" width="11.7109375" bestFit="1" customWidth="1"/>
    <col min="18" max="18" width="13.28515625" bestFit="1" customWidth="1"/>
    <col min="19" max="25" width="13.28515625" customWidth="1"/>
  </cols>
  <sheetData>
    <row r="3" spans="3:26" x14ac:dyDescent="0.25">
      <c r="C3" t="s">
        <v>54</v>
      </c>
      <c r="D3" t="s">
        <v>57</v>
      </c>
      <c r="E3" t="s">
        <v>56</v>
      </c>
      <c r="F3" t="s">
        <v>45</v>
      </c>
      <c r="G3" t="s">
        <v>69</v>
      </c>
      <c r="H3" t="s">
        <v>78</v>
      </c>
      <c r="K3" t="s">
        <v>79</v>
      </c>
      <c r="L3" t="s">
        <v>66</v>
      </c>
      <c r="N3" t="s">
        <v>55</v>
      </c>
      <c r="O3" t="s">
        <v>57</v>
      </c>
      <c r="P3" t="s">
        <v>56</v>
      </c>
      <c r="Q3" t="s">
        <v>67</v>
      </c>
      <c r="R3" t="s">
        <v>68</v>
      </c>
      <c r="S3" t="s">
        <v>69</v>
      </c>
      <c r="T3" t="s">
        <v>70</v>
      </c>
      <c r="W3" t="s">
        <v>71</v>
      </c>
      <c r="X3" t="s">
        <v>66</v>
      </c>
    </row>
    <row r="4" spans="3:26" x14ac:dyDescent="0.25">
      <c r="C4">
        <v>1</v>
      </c>
      <c r="N4">
        <v>1</v>
      </c>
    </row>
    <row r="5" spans="3:26" x14ac:dyDescent="0.25">
      <c r="D5">
        <v>4</v>
      </c>
      <c r="E5">
        <v>2</v>
      </c>
      <c r="F5" t="str">
        <f>IF(ISNUMBER(D5),VLOOKUP(D5,Sheet1!$B$52:$C$69,2),D5)</f>
        <v>Iron Mine</v>
      </c>
      <c r="G5" s="2">
        <v>720</v>
      </c>
      <c r="H5" s="2">
        <v>5</v>
      </c>
      <c r="I5" s="2" t="s">
        <v>72</v>
      </c>
      <c r="J5" s="2" t="s">
        <v>72</v>
      </c>
      <c r="K5" s="2">
        <v>1</v>
      </c>
      <c r="L5" s="3">
        <v>1.5856481481481482E-2</v>
      </c>
      <c r="O5">
        <v>26</v>
      </c>
      <c r="P5">
        <v>3</v>
      </c>
      <c r="Q5">
        <v>15</v>
      </c>
      <c r="R5" t="str">
        <f>VLOOKUP(Q5,Sheet1!$B$3:$D$47,2)</f>
        <v>Main Building</v>
      </c>
      <c r="S5">
        <v>745</v>
      </c>
      <c r="T5">
        <v>4</v>
      </c>
      <c r="W5">
        <v>3</v>
      </c>
      <c r="X5" s="1">
        <v>9.6527777777777768E-2</v>
      </c>
      <c r="Y5" s="1"/>
    </row>
    <row r="6" spans="3:26" x14ac:dyDescent="0.25">
      <c r="D6">
        <v>5</v>
      </c>
      <c r="E6">
        <v>2</v>
      </c>
      <c r="F6" t="str">
        <f>IF(ISNUMBER(D6),VLOOKUP(D6,Sheet1!$B$52:$C$69,2),D6)</f>
        <v>Clay Pit</v>
      </c>
      <c r="G6" s="2">
        <v>420</v>
      </c>
      <c r="H6" s="2">
        <v>1</v>
      </c>
      <c r="I6" s="2" t="s">
        <v>72</v>
      </c>
      <c r="J6" s="2" t="s">
        <v>72</v>
      </c>
      <c r="K6" s="2">
        <v>0</v>
      </c>
      <c r="L6" s="3">
        <v>6.3657407407407404E-3</v>
      </c>
      <c r="O6">
        <v>23</v>
      </c>
      <c r="P6">
        <v>1</v>
      </c>
      <c r="Q6">
        <v>10</v>
      </c>
      <c r="R6" t="str">
        <f>VLOOKUP(Q6,Sheet1!$B$3:$D$47,2)</f>
        <v>Warehouse</v>
      </c>
      <c r="S6" s="2">
        <v>420</v>
      </c>
      <c r="T6" s="2">
        <v>1</v>
      </c>
      <c r="U6" s="2" t="s">
        <v>72</v>
      </c>
      <c r="V6" s="2" t="s">
        <v>72</v>
      </c>
      <c r="W6" s="2">
        <v>1</v>
      </c>
      <c r="X6" s="3">
        <v>2.314814814814815E-2</v>
      </c>
      <c r="Y6" s="1"/>
    </row>
    <row r="7" spans="3:26" x14ac:dyDescent="0.25">
      <c r="D7" t="s">
        <v>118</v>
      </c>
      <c r="E7">
        <v>1</v>
      </c>
      <c r="F7" t="str">
        <f>IF(ISNUMBER(D7),VLOOKUP(D7,Sheet1!$B$52:$C$69,2),D7)</f>
        <v>All Fields</v>
      </c>
      <c r="G7">
        <f>5*Sheet3!G3+3*Sheet3!G25+3*Sheet3!G47+3*Sheet3!G69</f>
        <v>3560</v>
      </c>
      <c r="H7">
        <f>5*Sheet3!H3+3*Sheet3!H25+3*Sheet3!H47+3*Sheet3!H69</f>
        <v>21</v>
      </c>
      <c r="I7" t="e">
        <f>5*Sheet3!I3+3*Sheet3!I25+3*Sheet3!I47+3*Sheet3!I69</f>
        <v>#VALUE!</v>
      </c>
      <c r="J7" t="e">
        <f>5*Sheet3!J3+3*Sheet3!J25+3*Sheet3!J47+3*Sheet3!J69</f>
        <v>#VALUE!</v>
      </c>
      <c r="K7">
        <f>5*Sheet3!K3+3*Sheet3!K25+3*Sheet3!K47+3*Sheet3!K69</f>
        <v>14</v>
      </c>
      <c r="L7" s="1">
        <f>5*Sheet3!L3+3*Sheet3!L25+3*Sheet3!L47+3*Sheet3!L69</f>
        <v>4.0972222222222215E-2</v>
      </c>
      <c r="O7">
        <v>25</v>
      </c>
      <c r="P7">
        <v>1</v>
      </c>
      <c r="Q7">
        <v>11</v>
      </c>
      <c r="R7" t="str">
        <f>VLOOKUP(Q7,Sheet1!$B$3:$D$47,2)</f>
        <v>Granary</v>
      </c>
      <c r="S7" s="2">
        <v>270</v>
      </c>
      <c r="T7" s="2">
        <v>1</v>
      </c>
      <c r="U7" s="2" t="s">
        <v>72</v>
      </c>
      <c r="V7" s="2" t="s">
        <v>72</v>
      </c>
      <c r="W7" s="2">
        <v>1</v>
      </c>
      <c r="X7" s="3">
        <v>1.8518518518518521E-2</v>
      </c>
      <c r="Y7" s="1"/>
    </row>
    <row r="8" spans="3:26" x14ac:dyDescent="0.25">
      <c r="D8" t="s">
        <v>10</v>
      </c>
      <c r="E8">
        <v>2</v>
      </c>
      <c r="F8" t="str">
        <f>IF(ISNUMBER(D8),VLOOKUP(D8,Sheet1!$B$52:$C$69,2),D8)</f>
        <v>Cropland</v>
      </c>
      <c r="G8">
        <f>5*Sheet3!G4</f>
        <v>2075</v>
      </c>
      <c r="H8">
        <f>5*Sheet3!H4</f>
        <v>0</v>
      </c>
      <c r="I8" t="e">
        <f>5*Sheet3!I4</f>
        <v>#VALUE!</v>
      </c>
      <c r="J8" t="e">
        <f>5*Sheet3!J4</f>
        <v>#VALUE!</v>
      </c>
      <c r="K8">
        <v>0</v>
      </c>
      <c r="L8" s="1">
        <f>5*Sheet3!L4</f>
        <v>2.5462962962962962E-2</v>
      </c>
      <c r="O8">
        <v>33</v>
      </c>
      <c r="P8">
        <v>1</v>
      </c>
      <c r="Q8">
        <v>17</v>
      </c>
      <c r="R8" t="str">
        <f>VLOOKUP(Q8,Sheet1!$B$3:$D$47,2)</f>
        <v>Marketplace</v>
      </c>
      <c r="S8" s="2">
        <v>340</v>
      </c>
      <c r="T8" s="2">
        <v>4</v>
      </c>
      <c r="U8" s="2" t="s">
        <v>72</v>
      </c>
      <c r="V8" s="2" t="s">
        <v>72</v>
      </c>
      <c r="W8" s="2">
        <v>4</v>
      </c>
      <c r="X8" s="3">
        <v>2.0833333333333332E-2</v>
      </c>
      <c r="Y8" s="1"/>
    </row>
    <row r="9" spans="3:26" x14ac:dyDescent="0.25">
      <c r="D9" t="s">
        <v>8</v>
      </c>
      <c r="E9">
        <v>2</v>
      </c>
      <c r="F9" t="str">
        <f>IF(ISNUMBER(D9),VLOOKUP(D9,Sheet1!$B$52:$C$69,2),D9)</f>
        <v>Iron Mine</v>
      </c>
      <c r="G9">
        <f>3*Sheet3!G48</f>
        <v>1350</v>
      </c>
      <c r="H9">
        <f>3*Sheet3!H48</f>
        <v>6</v>
      </c>
      <c r="I9" t="e">
        <f>3*Sheet3!I48</f>
        <v>#VALUE!</v>
      </c>
      <c r="J9" t="e">
        <f>3*Sheet3!J48</f>
        <v>#VALUE!</v>
      </c>
      <c r="K9">
        <v>0</v>
      </c>
      <c r="L9" s="1">
        <f>3*Sheet3!L48</f>
        <v>3.1944444444444449E-2</v>
      </c>
      <c r="O9">
        <v>20</v>
      </c>
      <c r="P9">
        <v>1</v>
      </c>
      <c r="Q9">
        <v>18</v>
      </c>
      <c r="R9" t="str">
        <f>VLOOKUP(Q9,Sheet1!$B$3:$D$47,2)</f>
        <v>Embassy</v>
      </c>
      <c r="S9" s="2">
        <v>540</v>
      </c>
      <c r="T9" s="2">
        <v>3</v>
      </c>
      <c r="U9" s="2" t="s">
        <v>72</v>
      </c>
      <c r="V9" s="2" t="s">
        <v>72</v>
      </c>
      <c r="W9" s="2">
        <v>5</v>
      </c>
      <c r="X9" s="3">
        <v>2.314814814814815E-2</v>
      </c>
      <c r="Y9" s="1"/>
    </row>
    <row r="10" spans="3:26" x14ac:dyDescent="0.25">
      <c r="D10" t="s">
        <v>2</v>
      </c>
      <c r="E10">
        <v>2</v>
      </c>
      <c r="F10" t="str">
        <f>IF(ISNUMBER(D10),VLOOKUP(D10,Sheet1!$B$52:$C$69,2),D10)</f>
        <v>Woodcutter</v>
      </c>
      <c r="G10">
        <f>3*Sheet3!G70</f>
        <v>1245</v>
      </c>
      <c r="H10">
        <f>3*Sheet3!H70</f>
        <v>3</v>
      </c>
      <c r="I10" t="e">
        <f>3*Sheet3!I70</f>
        <v>#VALUE!</v>
      </c>
      <c r="J10" t="e">
        <f>3*Sheet3!J70</f>
        <v>#VALUE!</v>
      </c>
      <c r="K10">
        <v>0</v>
      </c>
      <c r="L10" s="1">
        <f>3*Sheet3!L70</f>
        <v>2.1527777777777778E-2</v>
      </c>
      <c r="O10">
        <v>31</v>
      </c>
      <c r="P10">
        <v>1</v>
      </c>
      <c r="Q10">
        <v>23</v>
      </c>
      <c r="R10" t="str">
        <f>VLOOKUP(Q10,Sheet1!$B$3:$D$47,2)</f>
        <v>Cranny</v>
      </c>
      <c r="S10" s="2">
        <v>130</v>
      </c>
      <c r="T10" s="2">
        <v>0</v>
      </c>
      <c r="U10" s="2" t="s">
        <v>72</v>
      </c>
      <c r="V10" s="2" t="s">
        <v>72</v>
      </c>
      <c r="W10" s="2">
        <v>1</v>
      </c>
      <c r="X10" s="3">
        <v>3.472222222222222E-3</v>
      </c>
      <c r="Y10" s="1"/>
    </row>
    <row r="11" spans="3:26" x14ac:dyDescent="0.25">
      <c r="D11" t="s">
        <v>5</v>
      </c>
      <c r="E11">
        <v>2</v>
      </c>
      <c r="F11" t="str">
        <f>IF(ISNUMBER(D11),VLOOKUP(D11,Sheet1!$B$52:$C$69,2),D11)</f>
        <v>Clay Pit</v>
      </c>
      <c r="G11">
        <f>3*Sheet3!G26</f>
        <v>1260</v>
      </c>
      <c r="H11">
        <f>3*Sheet3!H26</f>
        <v>3</v>
      </c>
      <c r="I11" t="e">
        <f>3*Sheet3!I26</f>
        <v>#VALUE!</v>
      </c>
      <c r="J11" t="e">
        <f>3*Sheet3!J26</f>
        <v>#VALUE!</v>
      </c>
      <c r="K11">
        <v>0</v>
      </c>
      <c r="L11" s="1">
        <f>3*Sheet3!L26</f>
        <v>1.909722222222222E-2</v>
      </c>
      <c r="O11">
        <v>32</v>
      </c>
      <c r="P11">
        <v>3</v>
      </c>
      <c r="Q11">
        <v>19</v>
      </c>
      <c r="R11" t="str">
        <f>VLOOKUP(Q11,Sheet1!$B$3:$D$47,2)</f>
        <v>Barracks</v>
      </c>
      <c r="S11" s="2">
        <v>2865</v>
      </c>
      <c r="T11" s="2">
        <v>8</v>
      </c>
      <c r="U11" s="2" t="s">
        <v>72</v>
      </c>
      <c r="V11" s="2" t="s">
        <v>72</v>
      </c>
      <c r="W11" s="2">
        <v>2</v>
      </c>
      <c r="X11" s="3">
        <v>9.2129629629629631E-2</v>
      </c>
      <c r="Y11" s="1"/>
    </row>
    <row r="12" spans="3:26" x14ac:dyDescent="0.25">
      <c r="L12" s="1"/>
      <c r="S12" s="2"/>
      <c r="T12" s="2"/>
      <c r="U12" s="2"/>
      <c r="V12" s="2"/>
      <c r="W12" s="2"/>
      <c r="X12" s="3"/>
      <c r="Y12" s="1"/>
    </row>
    <row r="13" spans="3:26" s="5" customFormat="1" x14ac:dyDescent="0.25">
      <c r="H13" s="5">
        <f>SUM(H5:H11)</f>
        <v>39</v>
      </c>
      <c r="K13" s="5">
        <f>SUM(K5:K11)</f>
        <v>15</v>
      </c>
      <c r="L13" s="6">
        <f>SUM(L5:L11)</f>
        <v>0.16122685185185184</v>
      </c>
      <c r="S13" s="10"/>
      <c r="T13" s="5">
        <f>SUM(T5:T11)</f>
        <v>21</v>
      </c>
      <c r="U13" s="10"/>
      <c r="V13" s="10"/>
      <c r="W13" s="5">
        <f>SUM(W5:W11)</f>
        <v>17</v>
      </c>
      <c r="X13" s="11">
        <f>SUM(X5:X11)</f>
        <v>0.27777777777777779</v>
      </c>
      <c r="Y13" s="6"/>
    </row>
    <row r="14" spans="3:26" s="7" customFormat="1" x14ac:dyDescent="0.25">
      <c r="C14" s="7">
        <v>2</v>
      </c>
      <c r="L14" s="8"/>
      <c r="N14" s="7">
        <v>2</v>
      </c>
      <c r="X14" s="8"/>
      <c r="Y14" s="9"/>
      <c r="Z14" s="7" t="s">
        <v>60</v>
      </c>
    </row>
    <row r="15" spans="3:26" x14ac:dyDescent="0.25">
      <c r="D15" t="s">
        <v>10</v>
      </c>
      <c r="E15">
        <v>3</v>
      </c>
      <c r="F15" t="str">
        <f>IF(ISNUMBER(D15),VLOOKUP(D15,Sheet1!$B$52:$C$69,2),D15)</f>
        <v>Cropland</v>
      </c>
      <c r="G15">
        <f>6*Sheet3!G5</f>
        <v>4170</v>
      </c>
      <c r="H15">
        <f>6*Sheet3!H5</f>
        <v>0</v>
      </c>
      <c r="I15" t="e">
        <f>6*Sheet3!I5</f>
        <v>#VALUE!</v>
      </c>
      <c r="J15" t="e">
        <f>6*Sheet3!J5</f>
        <v>#VALUE!</v>
      </c>
      <c r="K15">
        <f>6*Sheet3!K5-6</f>
        <v>6</v>
      </c>
      <c r="L15" s="1">
        <f>6*Sheet3!L5</f>
        <v>6.25E-2</v>
      </c>
      <c r="O15">
        <v>35</v>
      </c>
      <c r="P15">
        <v>1</v>
      </c>
      <c r="Q15">
        <v>22</v>
      </c>
      <c r="R15" t="str">
        <f>VLOOKUP(Q15,Sheet1!$B$3:$D$47,2)</f>
        <v>Academy</v>
      </c>
      <c r="S15" s="2">
        <v>510</v>
      </c>
      <c r="T15" s="2">
        <v>4</v>
      </c>
      <c r="U15" s="2" t="s">
        <v>72</v>
      </c>
      <c r="V15" s="2" t="s">
        <v>72</v>
      </c>
      <c r="W15" s="2">
        <v>5</v>
      </c>
      <c r="X15" s="3">
        <v>2.314814814814815E-2</v>
      </c>
      <c r="Y15" s="1"/>
    </row>
    <row r="16" spans="3:26" x14ac:dyDescent="0.25">
      <c r="D16">
        <v>2</v>
      </c>
      <c r="E16">
        <v>4</v>
      </c>
      <c r="F16" t="str">
        <f>IF(ISNUMBER(D16),VLOOKUP(D16,Sheet1!$B$52:$C$69,2),D16)</f>
        <v>Cropland</v>
      </c>
      <c r="G16">
        <f>Sheet3!G6</f>
        <v>1165</v>
      </c>
      <c r="H16">
        <f>Sheet3!H6</f>
        <v>0</v>
      </c>
      <c r="I16" t="str">
        <f>Sheet3!I6</f>
        <v>1[0]</v>
      </c>
      <c r="J16" t="str">
        <f>Sheet3!J6</f>
        <v>1[0]</v>
      </c>
      <c r="K16">
        <v>0</v>
      </c>
      <c r="L16" s="1">
        <f>Sheet3!L6</f>
        <v>1.909722222222222E-2</v>
      </c>
      <c r="O16">
        <v>26</v>
      </c>
      <c r="P16">
        <v>5</v>
      </c>
      <c r="Q16">
        <v>15</v>
      </c>
      <c r="R16" t="str">
        <f>VLOOKUP(Q16,Sheet1!$B$3:$D$47,2)</f>
        <v>Main Building</v>
      </c>
      <c r="S16">
        <v>905</v>
      </c>
      <c r="T16">
        <v>2</v>
      </c>
      <c r="W16">
        <v>2</v>
      </c>
      <c r="X16" s="1">
        <v>9.7916666666666666E-2</v>
      </c>
      <c r="Y16" s="1"/>
    </row>
    <row r="17" spans="4:28" x14ac:dyDescent="0.25">
      <c r="D17" t="s">
        <v>5</v>
      </c>
      <c r="E17">
        <v>3</v>
      </c>
      <c r="F17" t="str">
        <f>IF(ISNUMBER(D17),VLOOKUP(D17,Sheet1!$B$52:$C$69,2),D17)</f>
        <v>Clay Pit</v>
      </c>
      <c r="G17">
        <f>4*Sheet3!G27</f>
        <v>2800</v>
      </c>
      <c r="H17">
        <f>4*Sheet3!H27</f>
        <v>4</v>
      </c>
      <c r="I17" t="e">
        <f>4*Sheet3!I27</f>
        <v>#VALUE!</v>
      </c>
      <c r="J17" t="e">
        <f>4*Sheet3!J27</f>
        <v>#VALUE!</v>
      </c>
      <c r="K17">
        <v>4</v>
      </c>
      <c r="L17" s="1">
        <f>4*Sheet3!L27</f>
        <v>4.9999999999999996E-2</v>
      </c>
      <c r="O17">
        <v>31</v>
      </c>
      <c r="P17">
        <v>3</v>
      </c>
      <c r="Q17">
        <v>23</v>
      </c>
      <c r="R17" t="str">
        <f>VLOOKUP(Q17,Sheet1!$B$3:$D$47,2)</f>
        <v>Cranny</v>
      </c>
      <c r="S17" s="2">
        <v>380</v>
      </c>
      <c r="T17" s="2">
        <v>0</v>
      </c>
      <c r="U17" s="2" t="s">
        <v>72</v>
      </c>
      <c r="V17" s="2" t="s">
        <v>72</v>
      </c>
      <c r="W17" s="2">
        <v>1</v>
      </c>
      <c r="X17" s="3">
        <v>1.9675925925925927E-2</v>
      </c>
      <c r="Y17" s="1"/>
    </row>
    <row r="18" spans="4:28" x14ac:dyDescent="0.25">
      <c r="D18" t="s">
        <v>2</v>
      </c>
      <c r="E18">
        <v>3</v>
      </c>
      <c r="F18" t="str">
        <f>IF(ISNUMBER(D18),VLOOKUP(D18,Sheet1!$B$52:$C$69,2),D18)</f>
        <v>Woodcutter</v>
      </c>
      <c r="G18">
        <f>4*Sheet3!G71</f>
        <v>2780</v>
      </c>
      <c r="H18">
        <f>4*Sheet3!H71</f>
        <v>4</v>
      </c>
      <c r="I18" t="e">
        <f>4*Sheet3!I71</f>
        <v>#VALUE!</v>
      </c>
      <c r="J18" t="e">
        <f>4*Sheet3!J71</f>
        <v>#VALUE!</v>
      </c>
      <c r="K18">
        <v>4</v>
      </c>
      <c r="L18" s="1">
        <f>4*Sheet3!L71</f>
        <v>5.5092592592592589E-2</v>
      </c>
      <c r="O18">
        <v>38</v>
      </c>
      <c r="P18">
        <v>1</v>
      </c>
      <c r="Q18">
        <v>13</v>
      </c>
      <c r="R18" t="str">
        <f>VLOOKUP(Q18,Sheet1!$B$3:$D$47,2)</f>
        <v>Smithy</v>
      </c>
      <c r="S18" s="2">
        <v>1090</v>
      </c>
      <c r="T18" s="2">
        <v>4</v>
      </c>
      <c r="U18" s="2" t="s">
        <v>72</v>
      </c>
      <c r="V18" s="2" t="s">
        <v>72</v>
      </c>
      <c r="W18" s="2">
        <v>2</v>
      </c>
      <c r="X18" s="3">
        <v>2.314814814814815E-2</v>
      </c>
      <c r="Y18" s="1"/>
    </row>
    <row r="19" spans="4:28" x14ac:dyDescent="0.25">
      <c r="D19" t="s">
        <v>8</v>
      </c>
      <c r="E19">
        <v>3</v>
      </c>
      <c r="F19" t="str">
        <f>IF(ISNUMBER(D19),VLOOKUP(D19,Sheet1!$B$52:$C$69,2),D19)</f>
        <v>Iron Mine</v>
      </c>
      <c r="G19">
        <f>4*Sheet3!G49</f>
        <v>3020</v>
      </c>
      <c r="H19">
        <f>4*Sheet3!H49</f>
        <v>8</v>
      </c>
      <c r="I19" t="e">
        <f>4*Sheet3!I49</f>
        <v>#VALUE!</v>
      </c>
      <c r="J19" t="e">
        <f>4*Sheet3!J49</f>
        <v>#VALUE!</v>
      </c>
      <c r="K19">
        <v>4</v>
      </c>
      <c r="L19" s="1">
        <f>4*Sheet3!L49</f>
        <v>7.7314814814814808E-2</v>
      </c>
      <c r="O19">
        <v>21</v>
      </c>
      <c r="P19">
        <v>1</v>
      </c>
      <c r="Q19">
        <v>25</v>
      </c>
      <c r="R19" t="str">
        <f>VLOOKUP(Q19,Sheet1!$B$3:$D$47,2)</f>
        <v>Residence</v>
      </c>
      <c r="S19" s="2">
        <v>1570</v>
      </c>
      <c r="T19" s="2">
        <v>1</v>
      </c>
      <c r="U19" s="2" t="s">
        <v>72</v>
      </c>
      <c r="V19" s="2" t="s">
        <v>72</v>
      </c>
      <c r="W19" s="2">
        <v>2</v>
      </c>
      <c r="X19" s="3">
        <v>2.314814814814815E-2</v>
      </c>
      <c r="Y19" s="1"/>
    </row>
    <row r="20" spans="4:28" x14ac:dyDescent="0.25">
      <c r="D20">
        <v>5</v>
      </c>
      <c r="E20">
        <v>4</v>
      </c>
      <c r="F20" t="str">
        <f>IF(ISNUMBER(D20),VLOOKUP(D20,Sheet1!$B$52:$C$69,2),D20)</f>
        <v>Clay Pit</v>
      </c>
      <c r="G20">
        <f>Sheet3!G28</f>
        <v>1170</v>
      </c>
      <c r="H20">
        <f>Sheet3!H28</f>
        <v>1</v>
      </c>
      <c r="I20" t="str">
        <f>Sheet3!I28</f>
        <v>1[0]</v>
      </c>
      <c r="J20" t="str">
        <f>Sheet3!J28</f>
        <v>1[0]</v>
      </c>
      <c r="K20">
        <v>0</v>
      </c>
      <c r="L20" s="1">
        <f>Sheet3!L28</f>
        <v>2.2337962962962962E-2</v>
      </c>
      <c r="O20">
        <v>23</v>
      </c>
      <c r="P20">
        <v>3</v>
      </c>
      <c r="Q20">
        <v>10</v>
      </c>
      <c r="R20" t="str">
        <f>VLOOKUP(Q20,Sheet1!$B$3:$D$47,2)</f>
        <v>Warehouse</v>
      </c>
      <c r="S20" s="2">
        <v>1220</v>
      </c>
      <c r="T20" s="2">
        <v>2</v>
      </c>
      <c r="U20" s="2" t="s">
        <v>72</v>
      </c>
      <c r="V20" s="2" t="s">
        <v>72</v>
      </c>
      <c r="W20" s="2">
        <v>1</v>
      </c>
      <c r="X20" s="3">
        <v>6.8981481481481477E-2</v>
      </c>
      <c r="Y20" s="1"/>
    </row>
    <row r="21" spans="4:28" x14ac:dyDescent="0.25">
      <c r="D21">
        <v>1</v>
      </c>
      <c r="E21">
        <v>4</v>
      </c>
      <c r="F21" t="str">
        <f>IF(ISNUMBER(D21),VLOOKUP(D21,Sheet1!$B$52:$C$69,2),D21)</f>
        <v>Woodcutter</v>
      </c>
      <c r="G21">
        <f>Sheet3!G72</f>
        <v>1165</v>
      </c>
      <c r="H21">
        <f>Sheet3!H72</f>
        <v>1</v>
      </c>
      <c r="I21" t="str">
        <f>Sheet3!I72</f>
        <v>1[0]</v>
      </c>
      <c r="J21" t="str">
        <f>Sheet3!J72</f>
        <v>1[0]</v>
      </c>
      <c r="K21">
        <f>Sheet3!K72</f>
        <v>2</v>
      </c>
      <c r="L21" s="1">
        <f>Sheet3!L72</f>
        <v>2.4305555555555556E-2</v>
      </c>
      <c r="O21">
        <v>25</v>
      </c>
      <c r="P21">
        <v>3</v>
      </c>
      <c r="Q21">
        <v>11</v>
      </c>
      <c r="R21" t="str">
        <f>VLOOKUP(Q21,Sheet1!$B$3:$D$47,2)</f>
        <v>Granary</v>
      </c>
      <c r="S21" s="2">
        <v>790</v>
      </c>
      <c r="T21" s="2">
        <v>2</v>
      </c>
      <c r="U21" s="2" t="s">
        <v>72</v>
      </c>
      <c r="V21" s="2" t="s">
        <v>72</v>
      </c>
      <c r="W21" s="2">
        <v>1</v>
      </c>
      <c r="X21" s="3">
        <v>5.7407407407407407E-2</v>
      </c>
      <c r="Y21" s="1"/>
    </row>
    <row r="22" spans="4:28" x14ac:dyDescent="0.25">
      <c r="D22">
        <v>4</v>
      </c>
      <c r="E22">
        <v>4</v>
      </c>
      <c r="F22" t="str">
        <f>IF(ISNUMBER(D22),VLOOKUP(D22,Sheet1!$B$52:$C$69,2),D22)</f>
        <v>Iron Mine</v>
      </c>
      <c r="G22">
        <f>Sheet3!G50</f>
        <v>1260</v>
      </c>
      <c r="H22">
        <f>Sheet3!H50</f>
        <v>2</v>
      </c>
      <c r="I22" t="str">
        <f>Sheet3!I50</f>
        <v>1[0]</v>
      </c>
      <c r="J22" t="str">
        <f>Sheet3!J50</f>
        <v>1[0]</v>
      </c>
      <c r="K22">
        <f>Sheet3!K50</f>
        <v>2</v>
      </c>
      <c r="L22" s="1">
        <f>Sheet3!L50</f>
        <v>3.3333333333333333E-2</v>
      </c>
      <c r="O22">
        <v>33</v>
      </c>
      <c r="P22">
        <v>3</v>
      </c>
      <c r="Q22">
        <v>17</v>
      </c>
      <c r="R22" t="str">
        <f>VLOOKUP(Q22,Sheet1!$B$3:$D$47,2)</f>
        <v>Marketplace</v>
      </c>
      <c r="S22" s="2">
        <v>990</v>
      </c>
      <c r="T22" s="2">
        <v>4</v>
      </c>
      <c r="U22" s="2" t="s">
        <v>72</v>
      </c>
      <c r="V22" s="2" t="s">
        <v>72</v>
      </c>
      <c r="W22" s="2">
        <v>1</v>
      </c>
      <c r="X22" s="3">
        <v>6.3194444444444442E-2</v>
      </c>
      <c r="Y22" s="1"/>
    </row>
    <row r="23" spans="4:28" x14ac:dyDescent="0.25">
      <c r="O23">
        <v>40</v>
      </c>
      <c r="P23">
        <v>3</v>
      </c>
      <c r="Q23">
        <v>31</v>
      </c>
      <c r="R23" t="str">
        <f>VLOOKUP(Q23,Sheet1!$B$3:$D$47,2)</f>
        <v>City Wall</v>
      </c>
      <c r="S23" s="2">
        <v>1570</v>
      </c>
      <c r="T23" s="2">
        <v>0</v>
      </c>
      <c r="U23" s="2" t="s">
        <v>72</v>
      </c>
      <c r="V23" s="2" t="s">
        <v>72</v>
      </c>
      <c r="W23" s="2">
        <v>2</v>
      </c>
      <c r="X23" s="3">
        <v>9.2129629629629631E-2</v>
      </c>
      <c r="Y23" s="1"/>
    </row>
    <row r="24" spans="4:28" x14ac:dyDescent="0.25">
      <c r="O24">
        <v>26</v>
      </c>
      <c r="P24">
        <v>7</v>
      </c>
      <c r="Q24">
        <v>15</v>
      </c>
      <c r="R24" t="str">
        <f>VLOOKUP(Q24,Sheet1!$B$3:$D$47,2)</f>
        <v>Main Building</v>
      </c>
      <c r="S24" s="2">
        <v>1490</v>
      </c>
      <c r="T24" s="2">
        <v>4</v>
      </c>
      <c r="U24" s="2" t="s">
        <v>72</v>
      </c>
      <c r="V24" s="2" t="s">
        <v>72</v>
      </c>
      <c r="W24" s="2">
        <v>2</v>
      </c>
      <c r="X24" s="3">
        <v>0.13553240740740741</v>
      </c>
      <c r="Y24" s="3"/>
    </row>
    <row r="25" spans="4:28" x14ac:dyDescent="0.25">
      <c r="O25">
        <v>31</v>
      </c>
      <c r="P25">
        <v>10</v>
      </c>
      <c r="Q25">
        <v>23</v>
      </c>
      <c r="R25" t="str">
        <f>VLOOKUP(Q25,Sheet1!$B$3:$D$47,2)</f>
        <v>Cranny</v>
      </c>
      <c r="S25" s="2">
        <v>4495</v>
      </c>
      <c r="T25" s="2">
        <v>5</v>
      </c>
      <c r="U25" s="2" t="s">
        <v>72</v>
      </c>
      <c r="V25" s="2" t="s">
        <v>72</v>
      </c>
      <c r="W25" s="2">
        <v>4</v>
      </c>
      <c r="X25" s="3">
        <v>0.29652777777777778</v>
      </c>
      <c r="Y25" s="1"/>
      <c r="Z25" s="2"/>
      <c r="AA25" s="2"/>
      <c r="AB25" s="3"/>
    </row>
    <row r="26" spans="4:28" x14ac:dyDescent="0.25">
      <c r="O26">
        <v>36</v>
      </c>
      <c r="P26">
        <v>3</v>
      </c>
      <c r="Q26">
        <v>23</v>
      </c>
      <c r="R26" t="str">
        <f>VLOOKUP(Q26,Sheet1!$B$3:$D$47,2)</f>
        <v>Cranny</v>
      </c>
      <c r="S26" s="2">
        <v>510</v>
      </c>
      <c r="T26" s="2">
        <v>0</v>
      </c>
      <c r="U26" s="2" t="s">
        <v>72</v>
      </c>
      <c r="V26" s="2" t="s">
        <v>72</v>
      </c>
      <c r="W26" s="2">
        <v>2</v>
      </c>
      <c r="X26" s="3">
        <v>2.314814814814815E-2</v>
      </c>
      <c r="Y26" s="1"/>
    </row>
    <row r="27" spans="4:28" x14ac:dyDescent="0.25">
      <c r="O27">
        <v>29</v>
      </c>
      <c r="P27">
        <v>3</v>
      </c>
      <c r="Q27">
        <v>23</v>
      </c>
      <c r="R27" t="str">
        <f>VLOOKUP(Q27,Sheet1!$B$3:$D$47,2)</f>
        <v>Cranny</v>
      </c>
      <c r="S27" s="2">
        <v>510</v>
      </c>
      <c r="T27" s="2">
        <v>0</v>
      </c>
      <c r="U27" s="2" t="s">
        <v>72</v>
      </c>
      <c r="V27" s="2" t="s">
        <v>72</v>
      </c>
      <c r="W27" s="2">
        <v>2</v>
      </c>
      <c r="X27" s="3">
        <v>2.314814814814815E-2</v>
      </c>
      <c r="Y27" s="1"/>
    </row>
    <row r="28" spans="4:28" x14ac:dyDescent="0.25">
      <c r="O28">
        <v>19</v>
      </c>
      <c r="P28">
        <v>3</v>
      </c>
      <c r="Q28">
        <v>23</v>
      </c>
      <c r="R28" t="str">
        <f>VLOOKUP(Q28,Sheet1!$B$3:$D$47,2)</f>
        <v>Cranny</v>
      </c>
      <c r="S28" s="2">
        <v>510</v>
      </c>
      <c r="T28" s="2">
        <v>0</v>
      </c>
      <c r="U28" s="2" t="s">
        <v>72</v>
      </c>
      <c r="V28" s="2" t="s">
        <v>72</v>
      </c>
      <c r="W28" s="2">
        <v>2</v>
      </c>
      <c r="X28" s="3">
        <v>2.314814814814815E-2</v>
      </c>
      <c r="Y28" s="1"/>
    </row>
    <row r="29" spans="4:28" x14ac:dyDescent="0.25">
      <c r="O29">
        <v>24</v>
      </c>
      <c r="P29">
        <v>3</v>
      </c>
      <c r="Q29">
        <v>23</v>
      </c>
      <c r="R29" t="str">
        <f>VLOOKUP(Q29,Sheet1!$B$3:$D$47,2)</f>
        <v>Cranny</v>
      </c>
      <c r="S29" s="2">
        <v>510</v>
      </c>
      <c r="T29" s="2">
        <v>0</v>
      </c>
      <c r="U29" s="2" t="s">
        <v>72</v>
      </c>
      <c r="V29" s="2" t="s">
        <v>72</v>
      </c>
      <c r="W29" s="2">
        <v>2</v>
      </c>
      <c r="X29" s="3">
        <v>2.314814814814815E-2</v>
      </c>
      <c r="Y29" s="1"/>
    </row>
    <row r="30" spans="4:28" x14ac:dyDescent="0.25">
      <c r="O30">
        <v>28</v>
      </c>
      <c r="P30">
        <v>3</v>
      </c>
      <c r="Q30">
        <v>23</v>
      </c>
      <c r="R30" t="str">
        <f>VLOOKUP(Q30,Sheet1!$B$3:$D$47,2)</f>
        <v>Cranny</v>
      </c>
      <c r="S30" s="2">
        <v>510</v>
      </c>
      <c r="T30" s="2">
        <v>0</v>
      </c>
      <c r="U30" s="2" t="s">
        <v>72</v>
      </c>
      <c r="V30" s="2" t="s">
        <v>72</v>
      </c>
      <c r="W30" s="2">
        <v>2</v>
      </c>
      <c r="X30" s="3">
        <v>2.314814814814815E-2</v>
      </c>
      <c r="Y30" s="1"/>
    </row>
    <row r="31" spans="4:28" x14ac:dyDescent="0.25">
      <c r="O31">
        <v>30</v>
      </c>
      <c r="P31">
        <v>3</v>
      </c>
      <c r="Q31">
        <v>23</v>
      </c>
      <c r="R31" t="str">
        <f>VLOOKUP(Q31,Sheet1!$B$3:$D$47,2)</f>
        <v>Cranny</v>
      </c>
      <c r="S31" s="2">
        <v>510</v>
      </c>
      <c r="T31" s="2">
        <v>0</v>
      </c>
      <c r="U31" s="2" t="s">
        <v>72</v>
      </c>
      <c r="V31" s="2" t="s">
        <v>72</v>
      </c>
      <c r="W31" s="2">
        <v>2</v>
      </c>
      <c r="X31" s="3">
        <v>2.314814814814815E-2</v>
      </c>
      <c r="Y31" s="1"/>
    </row>
    <row r="32" spans="4:28" x14ac:dyDescent="0.25">
      <c r="O32">
        <v>36</v>
      </c>
      <c r="P32">
        <v>7</v>
      </c>
      <c r="Q32">
        <v>23</v>
      </c>
      <c r="R32" t="str">
        <f>VLOOKUP(Q32,Sheet1!$B$3:$D$47,2)</f>
        <v>Cranny</v>
      </c>
      <c r="S32" s="2">
        <v>1635</v>
      </c>
      <c r="T32" s="2">
        <v>2</v>
      </c>
      <c r="U32" s="2" t="s">
        <v>72</v>
      </c>
      <c r="V32" s="2" t="s">
        <v>72</v>
      </c>
      <c r="W32" s="2">
        <v>2</v>
      </c>
      <c r="X32" s="3">
        <v>0.11226851851851853</v>
      </c>
      <c r="Y32" s="1"/>
    </row>
    <row r="33" spans="3:26" x14ac:dyDescent="0.25">
      <c r="O33">
        <v>29</v>
      </c>
      <c r="P33">
        <v>7</v>
      </c>
      <c r="Q33">
        <v>23</v>
      </c>
      <c r="R33" t="str">
        <f>VLOOKUP(Q33,Sheet1!$B$3:$D$47,2)</f>
        <v>Cranny</v>
      </c>
      <c r="S33" s="2">
        <v>1635</v>
      </c>
      <c r="T33" s="2">
        <v>2</v>
      </c>
      <c r="U33" s="2" t="s">
        <v>72</v>
      </c>
      <c r="V33" s="2" t="s">
        <v>72</v>
      </c>
      <c r="W33" s="2">
        <v>2</v>
      </c>
      <c r="X33" s="3">
        <v>0.11226851851851853</v>
      </c>
      <c r="Y33" s="1"/>
    </row>
    <row r="34" spans="3:26" x14ac:dyDescent="0.25">
      <c r="O34">
        <v>19</v>
      </c>
      <c r="P34">
        <v>7</v>
      </c>
      <c r="Q34">
        <v>23</v>
      </c>
      <c r="R34" t="str">
        <f>VLOOKUP(Q34,Sheet1!$B$3:$D$47,2)</f>
        <v>Cranny</v>
      </c>
      <c r="S34" s="2">
        <v>1635</v>
      </c>
      <c r="T34" s="2">
        <v>2</v>
      </c>
      <c r="U34" s="2" t="s">
        <v>72</v>
      </c>
      <c r="V34" s="2" t="s">
        <v>72</v>
      </c>
      <c r="W34" s="2">
        <v>2</v>
      </c>
      <c r="X34" s="3">
        <v>0.11226851851851853</v>
      </c>
      <c r="Y34" s="1"/>
    </row>
    <row r="35" spans="3:26" x14ac:dyDescent="0.25">
      <c r="X35" s="1"/>
      <c r="Y35" s="1"/>
    </row>
    <row r="36" spans="3:26" s="5" customFormat="1" x14ac:dyDescent="0.25">
      <c r="H36" s="5">
        <f>SUM(H15:H34)+H13</f>
        <v>59</v>
      </c>
      <c r="K36" s="5">
        <f>SUM(K15:K34)+K13</f>
        <v>37</v>
      </c>
      <c r="L36" s="6">
        <f>SUM(L15:L34)</f>
        <v>0.3439814814814815</v>
      </c>
      <c r="T36" s="5">
        <f>SUM(T15:T34)+T13</f>
        <v>55</v>
      </c>
      <c r="W36" s="5">
        <f>SUM(W15:W34) + W13</f>
        <v>58</v>
      </c>
      <c r="X36" s="6">
        <f>SUM(X15:X34)</f>
        <v>1.3765046296296297</v>
      </c>
      <c r="Y36" s="6"/>
    </row>
    <row r="37" spans="3:26" x14ac:dyDescent="0.25">
      <c r="X37" s="1"/>
      <c r="Y37" s="1"/>
    </row>
    <row r="38" spans="3:26" x14ac:dyDescent="0.25">
      <c r="C38">
        <v>3</v>
      </c>
      <c r="N38">
        <v>3</v>
      </c>
      <c r="X38" s="1"/>
      <c r="Y38" s="1"/>
      <c r="Z38" t="s">
        <v>61</v>
      </c>
    </row>
    <row r="39" spans="3:26" x14ac:dyDescent="0.25">
      <c r="D39" t="s">
        <v>10</v>
      </c>
      <c r="E39">
        <v>4</v>
      </c>
      <c r="F39" t="str">
        <f>IF(ISNUMBER(D39),VLOOKUP(D39,Sheet1!$B$52:$C$69,2),D39)</f>
        <v>Cropland</v>
      </c>
      <c r="G39">
        <f>5*Sheet3!G6</f>
        <v>5825</v>
      </c>
      <c r="H39">
        <f>5*Sheet3!H6</f>
        <v>0</v>
      </c>
      <c r="I39" t="e">
        <f>5*Sheet3!I6</f>
        <v>#VALUE!</v>
      </c>
      <c r="J39" t="e">
        <f>5*Sheet3!J6</f>
        <v>#VALUE!</v>
      </c>
      <c r="K39">
        <v>0</v>
      </c>
      <c r="L39">
        <f>5*Sheet3!L6</f>
        <v>9.5486111111111105E-2</v>
      </c>
      <c r="O39">
        <v>38</v>
      </c>
      <c r="P39">
        <v>3</v>
      </c>
      <c r="Q39">
        <v>13</v>
      </c>
      <c r="R39" t="str">
        <f>VLOOKUP(Q39,Sheet1!$B$3:$D$47,2)</f>
        <v>Smithy</v>
      </c>
      <c r="S39" s="2">
        <v>3180</v>
      </c>
      <c r="T39" s="2">
        <v>4</v>
      </c>
      <c r="U39" s="2" t="s">
        <v>73</v>
      </c>
      <c r="V39" s="2" t="s">
        <v>72</v>
      </c>
      <c r="W39" s="2">
        <v>1</v>
      </c>
      <c r="X39" s="3">
        <v>6.8981481481481477E-2</v>
      </c>
      <c r="Y39" s="1"/>
    </row>
    <row r="40" spans="3:26" x14ac:dyDescent="0.25">
      <c r="D40" t="s">
        <v>5</v>
      </c>
      <c r="E40">
        <v>4</v>
      </c>
      <c r="F40" t="str">
        <f>IF(ISNUMBER(D40),VLOOKUP(D40,Sheet1!$B$52:$C$69,2),D40)</f>
        <v>Clay Pit</v>
      </c>
      <c r="O40">
        <v>35</v>
      </c>
      <c r="P40">
        <v>5</v>
      </c>
      <c r="Q40">
        <v>22</v>
      </c>
      <c r="R40" t="str">
        <f>VLOOKUP(Q40,Sheet1!$B$3:$D$47,2)</f>
        <v>Academy</v>
      </c>
      <c r="S40" s="2">
        <v>3915</v>
      </c>
      <c r="T40" s="2">
        <v>8</v>
      </c>
      <c r="U40" s="2" t="s">
        <v>72</v>
      </c>
      <c r="V40" s="2" t="s">
        <v>72</v>
      </c>
      <c r="W40" s="2">
        <v>5</v>
      </c>
      <c r="X40" s="2"/>
      <c r="Y40" s="1"/>
    </row>
    <row r="41" spans="3:26" x14ac:dyDescent="0.25">
      <c r="D41" t="s">
        <v>8</v>
      </c>
      <c r="E41">
        <v>4</v>
      </c>
      <c r="F41" t="str">
        <f>IF(ISNUMBER(D41),VLOOKUP(D41,Sheet1!$B$52:$C$69,2),D41)</f>
        <v>Iron Mine</v>
      </c>
      <c r="O41">
        <v>34</v>
      </c>
      <c r="P41">
        <v>1</v>
      </c>
      <c r="Q41">
        <v>20</v>
      </c>
      <c r="R41" t="str">
        <f>VLOOKUP(Q41,Sheet1!$B$3:$D$47,2)</f>
        <v>Stable</v>
      </c>
      <c r="S41" s="2">
        <v>720</v>
      </c>
      <c r="T41" s="2">
        <v>5</v>
      </c>
      <c r="U41" s="2" t="s">
        <v>72</v>
      </c>
      <c r="V41" s="2" t="s">
        <v>72</v>
      </c>
      <c r="W41" s="2">
        <v>2</v>
      </c>
      <c r="X41" s="3">
        <v>2.5462962962962962E-2</v>
      </c>
      <c r="Y41" s="1"/>
    </row>
    <row r="42" spans="3:26" x14ac:dyDescent="0.25">
      <c r="D42" t="s">
        <v>2</v>
      </c>
      <c r="E42">
        <v>4</v>
      </c>
      <c r="F42" t="str">
        <f>IF(ISNUMBER(D42),VLOOKUP(D42,Sheet1!$B$52:$C$69,2),D42)</f>
        <v>Woodcutter</v>
      </c>
      <c r="O42">
        <v>27</v>
      </c>
      <c r="P42">
        <v>1</v>
      </c>
      <c r="Q42">
        <v>8</v>
      </c>
      <c r="R42" t="str">
        <f>VLOOKUP(Q42,Sheet1!$B$3:$D$47,2)</f>
        <v>Grain Mill</v>
      </c>
      <c r="S42" s="2">
        <v>2560</v>
      </c>
      <c r="T42" s="2">
        <v>3</v>
      </c>
      <c r="U42" s="2" t="s">
        <v>72</v>
      </c>
      <c r="V42" s="2" t="s">
        <v>76</v>
      </c>
      <c r="W42" s="2">
        <v>1</v>
      </c>
      <c r="X42" s="3">
        <v>2.1296296296296299E-2</v>
      </c>
      <c r="Y42" s="1"/>
    </row>
    <row r="43" spans="3:26" x14ac:dyDescent="0.25">
      <c r="D43">
        <v>2</v>
      </c>
      <c r="E43">
        <v>5</v>
      </c>
      <c r="F43" t="str">
        <f>IF(ISNUMBER(D43),VLOOKUP(D43,Sheet1!$B$52:$C$69,2),D43)</f>
        <v>Cropland</v>
      </c>
      <c r="O43">
        <v>35</v>
      </c>
      <c r="P43">
        <v>10</v>
      </c>
      <c r="Q43">
        <v>22</v>
      </c>
      <c r="R43" t="str">
        <f>VLOOKUP(Q43,Sheet1!$B$3:$D$47,2)</f>
        <v>Academy</v>
      </c>
      <c r="S43" s="2">
        <v>15250</v>
      </c>
      <c r="T43" s="2">
        <v>15</v>
      </c>
      <c r="U43" s="2" t="s">
        <v>74</v>
      </c>
      <c r="V43" s="2" t="s">
        <v>72</v>
      </c>
      <c r="W43" s="2">
        <v>15</v>
      </c>
      <c r="X43" s="1"/>
      <c r="Y43" s="1"/>
    </row>
    <row r="44" spans="3:26" x14ac:dyDescent="0.25">
      <c r="O44">
        <v>37</v>
      </c>
      <c r="P44">
        <v>1</v>
      </c>
      <c r="Q44">
        <v>21</v>
      </c>
      <c r="R44" t="str">
        <f>VLOOKUP(Q44,Sheet1!$B$3:$D$47,2)</f>
        <v>Workshop</v>
      </c>
      <c r="S44" s="2">
        <v>1890</v>
      </c>
      <c r="T44" s="2">
        <v>3</v>
      </c>
      <c r="U44" s="2" t="s">
        <v>72</v>
      </c>
      <c r="V44" s="2" t="s">
        <v>72</v>
      </c>
      <c r="W44" s="2">
        <v>4</v>
      </c>
      <c r="X44" s="3">
        <v>3.4722222222222224E-2</v>
      </c>
      <c r="Y44" s="1"/>
    </row>
    <row r="45" spans="3:26" x14ac:dyDescent="0.25">
      <c r="O45">
        <v>26</v>
      </c>
      <c r="P45">
        <v>12</v>
      </c>
      <c r="Q45">
        <v>15</v>
      </c>
      <c r="R45" t="str">
        <f>VLOOKUP(Q45,Sheet1!$B$3:$D$47,2)</f>
        <v>Main Building</v>
      </c>
      <c r="S45" s="2">
        <v>9310</v>
      </c>
      <c r="T45" s="2">
        <v>10</v>
      </c>
      <c r="U45" s="2" t="s">
        <v>73</v>
      </c>
      <c r="V45" s="2" t="s">
        <v>72</v>
      </c>
      <c r="W45" s="2">
        <v>11</v>
      </c>
      <c r="X45" s="3">
        <v>0.562962962962963</v>
      </c>
      <c r="Y45" s="3"/>
      <c r="Z45" s="2"/>
    </row>
    <row r="46" spans="3:26" x14ac:dyDescent="0.25">
      <c r="S46" s="2"/>
      <c r="T46" s="2"/>
      <c r="U46" s="2"/>
      <c r="V46" s="2"/>
      <c r="W46" s="2"/>
      <c r="X46" s="3"/>
      <c r="Y46" s="3"/>
      <c r="Z46" s="2"/>
    </row>
    <row r="47" spans="3:26" x14ac:dyDescent="0.25">
      <c r="S47" s="2"/>
      <c r="T47" s="2"/>
      <c r="U47" s="2"/>
      <c r="V47" s="2"/>
      <c r="W47" s="2"/>
      <c r="X47" s="3"/>
      <c r="Y47" s="3"/>
      <c r="Z47" s="2"/>
    </row>
    <row r="48" spans="3:26" x14ac:dyDescent="0.25">
      <c r="C48">
        <v>4</v>
      </c>
      <c r="N48">
        <v>4</v>
      </c>
      <c r="X48" s="1"/>
      <c r="Y48" s="1"/>
      <c r="Z48" t="s">
        <v>62</v>
      </c>
    </row>
    <row r="49" spans="3:26" x14ac:dyDescent="0.25">
      <c r="F49">
        <f>IF(ISNUMBER(D49),VLOOKUP(D49,Sheet1!$B$52:$C$69,2),D49)</f>
        <v>0</v>
      </c>
      <c r="O49">
        <v>22</v>
      </c>
      <c r="P49">
        <v>1</v>
      </c>
      <c r="Q49">
        <v>24</v>
      </c>
      <c r="R49" t="str">
        <f>VLOOKUP(Q49,Sheet1!$B$3:$D$47,2)</f>
        <v>Town Hall</v>
      </c>
      <c r="S49" s="2">
        <v>4220</v>
      </c>
      <c r="T49" s="2">
        <v>4</v>
      </c>
      <c r="U49" s="2" t="s">
        <v>76</v>
      </c>
      <c r="V49" s="2" t="s">
        <v>72</v>
      </c>
      <c r="W49" s="2">
        <v>6</v>
      </c>
      <c r="X49" s="3">
        <v>0.14467592592592593</v>
      </c>
      <c r="Y49" s="1"/>
    </row>
    <row r="50" spans="3:26" x14ac:dyDescent="0.25">
      <c r="F50">
        <f>IF(ISNUMBER(D50),VLOOKUP(D50,Sheet1!$B$52:$C$69,2),D50)</f>
        <v>0</v>
      </c>
      <c r="O50">
        <v>23</v>
      </c>
      <c r="P50">
        <v>7</v>
      </c>
      <c r="Q50">
        <v>10</v>
      </c>
      <c r="R50" t="str">
        <f>VLOOKUP(Q50,Sheet1!$B$3:$D$47,2)</f>
        <v>Warehouse</v>
      </c>
      <c r="S50" s="2">
        <v>5295</v>
      </c>
      <c r="T50" s="2">
        <v>4</v>
      </c>
      <c r="U50" s="2" t="s">
        <v>72</v>
      </c>
      <c r="V50" s="2" t="s">
        <v>72</v>
      </c>
      <c r="W50" s="2">
        <v>2</v>
      </c>
      <c r="X50" s="3">
        <v>0.2678240740740741</v>
      </c>
      <c r="Y50" s="1"/>
    </row>
    <row r="51" spans="3:26" x14ac:dyDescent="0.25">
      <c r="F51">
        <f>IF(ISNUMBER(D51),VLOOKUP(D51,Sheet1!$B$52:$C$69,2),D51)</f>
        <v>0</v>
      </c>
      <c r="O51">
        <v>25</v>
      </c>
      <c r="P51">
        <v>7</v>
      </c>
      <c r="Q51">
        <v>11</v>
      </c>
      <c r="R51" t="str">
        <f>VLOOKUP(Q51,Sheet1!$B$3:$D$47,2)</f>
        <v>Granary</v>
      </c>
      <c r="S51" s="2">
        <v>3415</v>
      </c>
      <c r="T51" s="2">
        <v>4</v>
      </c>
      <c r="U51" s="2" t="s">
        <v>72</v>
      </c>
      <c r="V51" s="2" t="s">
        <v>72</v>
      </c>
      <c r="W51" s="2">
        <v>2</v>
      </c>
      <c r="X51" s="3">
        <v>0.23124999999999998</v>
      </c>
      <c r="Y51" s="1"/>
    </row>
    <row r="52" spans="3:26" x14ac:dyDescent="0.25">
      <c r="F52">
        <f>IF(ISNUMBER(D52),VLOOKUP(D52,Sheet1!$B$52:$C$69,2),D52)</f>
        <v>0</v>
      </c>
      <c r="O52">
        <v>23</v>
      </c>
      <c r="P52">
        <v>8</v>
      </c>
      <c r="Q52">
        <v>10</v>
      </c>
      <c r="R52" t="str">
        <f>VLOOKUP(Q52,Sheet1!$B$3:$D$47,2)</f>
        <v>Warehouse</v>
      </c>
      <c r="S52" s="2">
        <v>2360</v>
      </c>
      <c r="T52" s="2">
        <v>1</v>
      </c>
      <c r="U52" s="2" t="s">
        <v>73</v>
      </c>
      <c r="V52" s="2" t="s">
        <v>72</v>
      </c>
      <c r="W52" s="2">
        <v>0</v>
      </c>
      <c r="X52" s="3">
        <v>0.10509259259259258</v>
      </c>
      <c r="Y52" s="1"/>
    </row>
    <row r="53" spans="3:26" x14ac:dyDescent="0.25">
      <c r="F53">
        <f>IF(ISNUMBER(D53),VLOOKUP(D53,Sheet1!$B$52:$C$69,2),D53)</f>
        <v>0</v>
      </c>
      <c r="O53">
        <v>21</v>
      </c>
      <c r="P53">
        <v>3</v>
      </c>
      <c r="Q53">
        <v>25</v>
      </c>
      <c r="R53" t="str">
        <f>VLOOKUP(Q53,Sheet1!$B$3:$D$47,2)</f>
        <v>Residence</v>
      </c>
      <c r="S53" s="2">
        <v>4585</v>
      </c>
      <c r="T53" s="2">
        <v>2</v>
      </c>
      <c r="U53" s="2" t="s">
        <v>73</v>
      </c>
      <c r="V53" s="2" t="s">
        <v>72</v>
      </c>
      <c r="W53" s="2">
        <v>1</v>
      </c>
      <c r="X53" s="3">
        <v>6.8981481481481477E-2</v>
      </c>
      <c r="Y53" s="1"/>
    </row>
    <row r="54" spans="3:26" x14ac:dyDescent="0.25">
      <c r="F54">
        <f>IF(ISNUMBER(D54),VLOOKUP(D54,Sheet1!$B$52:$C$69,2),D54)</f>
        <v>0</v>
      </c>
      <c r="O54">
        <v>20</v>
      </c>
      <c r="P54">
        <v>5</v>
      </c>
      <c r="Q54">
        <v>18</v>
      </c>
      <c r="R54" t="str">
        <f>VLOOKUP(Q54,Sheet1!$B$3:$D$47,2)</f>
        <v>Embassy</v>
      </c>
      <c r="S54" s="2">
        <v>4160</v>
      </c>
      <c r="T54" s="2">
        <v>8</v>
      </c>
      <c r="U54" s="2" t="s">
        <v>72</v>
      </c>
      <c r="V54" s="2" t="s">
        <v>72</v>
      </c>
      <c r="W54" s="2">
        <v>5</v>
      </c>
      <c r="X54" s="3">
        <v>0.17673611111111109</v>
      </c>
      <c r="Y54" s="1"/>
    </row>
    <row r="55" spans="3:26" x14ac:dyDescent="0.25">
      <c r="F55">
        <f>IF(ISNUMBER(D55),VLOOKUP(D55,Sheet1!$B$52:$C$69,2),D55)</f>
        <v>0</v>
      </c>
      <c r="O55">
        <v>33</v>
      </c>
      <c r="P55">
        <v>7</v>
      </c>
      <c r="Q55">
        <v>17</v>
      </c>
      <c r="R55" t="str">
        <f>VLOOKUP(Q55,Sheet1!$B$3:$D$47,2)</f>
        <v>Marketplace</v>
      </c>
      <c r="S55" s="2">
        <v>4290</v>
      </c>
      <c r="T55" s="2">
        <v>10</v>
      </c>
      <c r="U55" s="2" t="s">
        <v>72</v>
      </c>
      <c r="V55" s="2" t="s">
        <v>72</v>
      </c>
      <c r="W55" s="2">
        <v>6</v>
      </c>
      <c r="X55" s="3">
        <v>0.24953703703703703</v>
      </c>
      <c r="Y55" s="1"/>
    </row>
    <row r="56" spans="3:26" x14ac:dyDescent="0.25">
      <c r="X56" s="1"/>
      <c r="Y56" s="1"/>
    </row>
    <row r="57" spans="3:26" x14ac:dyDescent="0.25">
      <c r="F57">
        <f>IF(ISNUMBER(D57),VLOOKUP(D57,Sheet1!$B$52:$C$69,2),D57)</f>
        <v>0</v>
      </c>
      <c r="X57" s="1"/>
      <c r="Y57" s="1"/>
    </row>
    <row r="58" spans="3:26" x14ac:dyDescent="0.25">
      <c r="C58">
        <v>5</v>
      </c>
      <c r="F58">
        <f>IF(ISNUMBER(D58),VLOOKUP(D58,Sheet1!$B$52:$C$69,2),D58)</f>
        <v>0</v>
      </c>
      <c r="N58">
        <v>5</v>
      </c>
      <c r="X58" s="1"/>
      <c r="Y58" s="1"/>
      <c r="Z58" t="s">
        <v>63</v>
      </c>
    </row>
    <row r="59" spans="3:26" x14ac:dyDescent="0.25">
      <c r="D59" t="s">
        <v>5</v>
      </c>
      <c r="E59">
        <v>5</v>
      </c>
      <c r="F59" t="str">
        <f>IF(ISNUMBER(D59),VLOOKUP(D59,Sheet1!$B$52:$C$69,2),D59)</f>
        <v>Clay Pit</v>
      </c>
      <c r="O59">
        <v>24</v>
      </c>
      <c r="P59">
        <v>7</v>
      </c>
      <c r="Q59">
        <v>23</v>
      </c>
      <c r="R59" t="str">
        <f>VLOOKUP(Q59,Sheet1!$B$3:$D$47,2)</f>
        <v>Cranny</v>
      </c>
      <c r="S59" s="2">
        <v>1635</v>
      </c>
      <c r="T59" s="2">
        <v>2</v>
      </c>
      <c r="U59" s="2" t="s">
        <v>72</v>
      </c>
      <c r="V59" s="2" t="s">
        <v>72</v>
      </c>
      <c r="W59" s="2">
        <v>2</v>
      </c>
      <c r="X59" s="3">
        <v>0.11226851851851853</v>
      </c>
      <c r="Y59" s="1"/>
    </row>
    <row r="60" spans="3:26" x14ac:dyDescent="0.25">
      <c r="D60" t="s">
        <v>2</v>
      </c>
      <c r="E60">
        <v>5</v>
      </c>
      <c r="F60" t="str">
        <f>IF(ISNUMBER(D60),VLOOKUP(D60,Sheet1!$B$52:$C$69,2),D60)</f>
        <v>Woodcutter</v>
      </c>
      <c r="O60">
        <v>28</v>
      </c>
      <c r="P60">
        <v>7</v>
      </c>
      <c r="Q60">
        <v>23</v>
      </c>
      <c r="R60" t="str">
        <f>VLOOKUP(Q60,Sheet1!$B$3:$D$47,2)</f>
        <v>Cranny</v>
      </c>
      <c r="S60" s="2">
        <v>1635</v>
      </c>
      <c r="T60" s="2">
        <v>2</v>
      </c>
      <c r="U60" s="2" t="s">
        <v>72</v>
      </c>
      <c r="V60" s="2" t="s">
        <v>72</v>
      </c>
      <c r="W60" s="2">
        <v>2</v>
      </c>
      <c r="X60" s="3">
        <v>0.11226851851851853</v>
      </c>
      <c r="Y60" s="1"/>
    </row>
    <row r="61" spans="3:26" x14ac:dyDescent="0.25">
      <c r="D61" t="s">
        <v>8</v>
      </c>
      <c r="E61">
        <v>5</v>
      </c>
      <c r="F61" t="str">
        <f>IF(ISNUMBER(D61),VLOOKUP(D61,Sheet1!$B$52:$C$69,2),D61)</f>
        <v>Iron Mine</v>
      </c>
      <c r="O61">
        <v>30</v>
      </c>
      <c r="P61">
        <v>7</v>
      </c>
      <c r="Q61">
        <v>23</v>
      </c>
      <c r="R61" t="str">
        <f>VLOOKUP(Q61,Sheet1!$B$3:$D$47,2)</f>
        <v>Cranny</v>
      </c>
      <c r="S61" s="2">
        <v>1635</v>
      </c>
      <c r="T61" s="2">
        <v>2</v>
      </c>
      <c r="U61" s="2" t="s">
        <v>72</v>
      </c>
      <c r="V61" s="2" t="s">
        <v>72</v>
      </c>
      <c r="W61" s="2">
        <v>2</v>
      </c>
      <c r="X61" s="3">
        <v>0.11226851851851853</v>
      </c>
      <c r="Y61" s="1"/>
    </row>
    <row r="62" spans="3:26" x14ac:dyDescent="0.25">
      <c r="D62" t="s">
        <v>10</v>
      </c>
      <c r="E62">
        <v>5</v>
      </c>
      <c r="F62" t="str">
        <f>IF(ISNUMBER(D62),VLOOKUP(D62,Sheet1!$B$52:$C$69,2),D62)</f>
        <v>Cropland</v>
      </c>
      <c r="O62">
        <v>34</v>
      </c>
      <c r="P62">
        <v>3</v>
      </c>
      <c r="Q62">
        <v>20</v>
      </c>
      <c r="R62" t="str">
        <f>VLOOKUP(Q62,Sheet1!$B$3:$D$47,2)</f>
        <v>Stable</v>
      </c>
      <c r="S62" s="2">
        <v>2105</v>
      </c>
      <c r="T62" s="2">
        <v>6</v>
      </c>
      <c r="U62" s="2" t="s">
        <v>72</v>
      </c>
      <c r="V62" s="2" t="s">
        <v>72</v>
      </c>
      <c r="W62" s="2">
        <v>1</v>
      </c>
      <c r="X62" s="3">
        <v>7.4768518518518512E-2</v>
      </c>
      <c r="Y62" s="1"/>
    </row>
    <row r="63" spans="3:26" x14ac:dyDescent="0.25">
      <c r="F63">
        <f>IF(ISNUMBER(D63),VLOOKUP(D63,Sheet1!$B$52:$C$69,2),D63)</f>
        <v>0</v>
      </c>
      <c r="O63">
        <v>33</v>
      </c>
      <c r="P63">
        <v>12</v>
      </c>
      <c r="Q63">
        <v>17</v>
      </c>
      <c r="R63" t="str">
        <f>VLOOKUP(Q63,Sheet1!$B$3:$D$47,2)</f>
        <v>Marketplace</v>
      </c>
      <c r="S63" s="2">
        <v>16655</v>
      </c>
      <c r="T63" s="2">
        <v>15</v>
      </c>
      <c r="U63" s="2" t="s">
        <v>74</v>
      </c>
      <c r="V63" s="2" t="s">
        <v>73</v>
      </c>
      <c r="W63" s="2">
        <v>16</v>
      </c>
      <c r="X63" s="3">
        <v>0.71817129629629628</v>
      </c>
      <c r="Y63" s="1"/>
    </row>
    <row r="64" spans="3:26" x14ac:dyDescent="0.25">
      <c r="C64">
        <v>6</v>
      </c>
      <c r="F64">
        <f>IF(ISNUMBER(D64),VLOOKUP(D64,Sheet1!$B$52:$C$69,2),D64)</f>
        <v>0</v>
      </c>
      <c r="N64">
        <v>6</v>
      </c>
      <c r="X64" s="1"/>
      <c r="Y64" s="1"/>
      <c r="Z64" t="s">
        <v>64</v>
      </c>
    </row>
    <row r="65" spans="3:26" x14ac:dyDescent="0.25">
      <c r="F65">
        <f>IF(ISNUMBER(D65),VLOOKUP(D65,Sheet1!$B$52:$C$69,2),D65)</f>
        <v>0</v>
      </c>
      <c r="O65">
        <v>21</v>
      </c>
      <c r="P65">
        <v>9</v>
      </c>
      <c r="Q65">
        <v>25</v>
      </c>
      <c r="R65" t="str">
        <f>VLOOKUP(Q65,Sheet1!$B$3:$D$47,2)</f>
        <v>Residence</v>
      </c>
      <c r="S65" s="2">
        <v>39960</v>
      </c>
      <c r="T65" s="2">
        <v>6</v>
      </c>
      <c r="U65" s="2" t="s">
        <v>75</v>
      </c>
      <c r="V65" s="2" t="s">
        <v>76</v>
      </c>
      <c r="W65" s="2">
        <v>7</v>
      </c>
      <c r="X65" s="3">
        <v>0.4982638888888889</v>
      </c>
      <c r="Y65" s="1"/>
    </row>
    <row r="66" spans="3:26" x14ac:dyDescent="0.25">
      <c r="C66">
        <v>7</v>
      </c>
      <c r="F66">
        <f>IF(ISNUMBER(D66),VLOOKUP(D66,Sheet1!$B$52:$C$69,2),D66)</f>
        <v>0</v>
      </c>
      <c r="N66">
        <v>7</v>
      </c>
      <c r="X66" s="1"/>
      <c r="Y66" s="1"/>
      <c r="Z66" t="s">
        <v>65</v>
      </c>
    </row>
    <row r="67" spans="3:26" x14ac:dyDescent="0.25">
      <c r="F67">
        <f>IF(ISNUMBER(D67),VLOOKUP(D67,Sheet1!$B$52:$C$69,2),D67)</f>
        <v>0</v>
      </c>
      <c r="O67">
        <v>21</v>
      </c>
      <c r="P67">
        <v>10</v>
      </c>
      <c r="Q67">
        <v>25</v>
      </c>
      <c r="R67" t="str">
        <f>VLOOKUP(Q67,Sheet1!$B$3:$D$47,2)</f>
        <v>Residence</v>
      </c>
      <c r="S67" s="2">
        <v>14485</v>
      </c>
      <c r="T67" s="2">
        <v>1</v>
      </c>
      <c r="U67" s="2" t="s">
        <v>73</v>
      </c>
      <c r="V67" s="2" t="s">
        <v>72</v>
      </c>
      <c r="W67" s="2">
        <v>2</v>
      </c>
      <c r="X67" s="3">
        <v>0.14884259259259261</v>
      </c>
      <c r="Y67" s="1"/>
    </row>
    <row r="68" spans="3:26" x14ac:dyDescent="0.25">
      <c r="F68">
        <f>IF(ISNUMBER(D68),VLOOKUP(D68,Sheet1!$B$52:$C$69,2),D68)</f>
        <v>0</v>
      </c>
      <c r="R68" t="e">
        <f>VLOOKUP(Q68,Sheet1!$B$3:$D$47,2)</f>
        <v>#N/A</v>
      </c>
    </row>
    <row r="69" spans="3:26" x14ac:dyDescent="0.25">
      <c r="F69">
        <f>IF(ISNUMBER(D69),VLOOKUP(D69,Sheet1!$B$52:$C$69,2),D69)</f>
        <v>0</v>
      </c>
      <c r="R69" t="e">
        <f>VLOOKUP(Q69,Sheet1!$B$3:$D$47,2)</f>
        <v>#N/A</v>
      </c>
    </row>
    <row r="70" spans="3:26" x14ac:dyDescent="0.25">
      <c r="F70">
        <f>IF(ISNUMBER(D70),VLOOKUP(D70,Sheet1!$B$52:$C$69,2),D70)</f>
        <v>0</v>
      </c>
      <c r="R70" t="e">
        <f>VLOOKUP(Q70,Sheet1!$B$3:$D$47,2)</f>
        <v>#N/A</v>
      </c>
    </row>
    <row r="71" spans="3:26" x14ac:dyDescent="0.25">
      <c r="F71">
        <f>IF(ISNUMBER(D71),VLOOKUP(D71,Sheet1!$B$52:$C$69,2),D71)</f>
        <v>0</v>
      </c>
      <c r="R71" t="e">
        <f>VLOOKUP(Q71,Sheet1!$B$3:$D$47,2)</f>
        <v>#N/A</v>
      </c>
    </row>
    <row r="72" spans="3:26" x14ac:dyDescent="0.25">
      <c r="F72">
        <f>IF(ISNUMBER(D72),VLOOKUP(D72,Sheet1!$B$52:$C$69,2),D72)</f>
        <v>0</v>
      </c>
      <c r="R72" t="e">
        <f>VLOOKUP(Q72,Sheet1!$B$3:$D$47,2)</f>
        <v>#N/A</v>
      </c>
    </row>
    <row r="73" spans="3:26" x14ac:dyDescent="0.25">
      <c r="F73">
        <f>IF(ISNUMBER(D73),VLOOKUP(D73,Sheet1!$B$52:$C$69,2),D73)</f>
        <v>0</v>
      </c>
      <c r="R73" t="e">
        <f>VLOOKUP(Q73,Sheet1!$B$3:$D$47,2)</f>
        <v>#N/A</v>
      </c>
    </row>
    <row r="74" spans="3:26" x14ac:dyDescent="0.25">
      <c r="F74">
        <f>IF(ISNUMBER(D74),VLOOKUP(D74,Sheet1!$B$52:$C$69,2),D74)</f>
        <v>0</v>
      </c>
      <c r="R74" t="e">
        <f>VLOOKUP(Q74,Sheet1!$B$3:$D$47,2)</f>
        <v>#N/A</v>
      </c>
    </row>
    <row r="75" spans="3:26" x14ac:dyDescent="0.25">
      <c r="F75">
        <f>IF(ISNUMBER(D75),VLOOKUP(D75,Sheet1!$B$52:$C$69,2),D75)</f>
        <v>0</v>
      </c>
      <c r="R75" t="e">
        <f>VLOOKUP(Q75,Sheet1!$B$3:$D$47,2)</f>
        <v>#N/A</v>
      </c>
    </row>
    <row r="76" spans="3:26" x14ac:dyDescent="0.25">
      <c r="F76">
        <f>IF(ISNUMBER(D76),VLOOKUP(D76,Sheet1!$B$52:$C$69,2),D76)</f>
        <v>0</v>
      </c>
      <c r="R76" t="e">
        <f>VLOOKUP(Q76,Sheet1!$B$3:$D$47,2)</f>
        <v>#N/A</v>
      </c>
    </row>
    <row r="77" spans="3:26" x14ac:dyDescent="0.25">
      <c r="F77">
        <f>IF(ISNUMBER(D77),VLOOKUP(D77,Sheet1!$B$52:$C$69,2),D77)</f>
        <v>0</v>
      </c>
      <c r="R77" t="e">
        <f>VLOOKUP(Q77,Sheet1!$B$3:$D$47,2)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88"/>
  <sheetViews>
    <sheetView workbookViewId="0">
      <selection activeCell="O6" sqref="O6"/>
    </sheetView>
  </sheetViews>
  <sheetFormatPr defaultRowHeight="15" x14ac:dyDescent="0.25"/>
  <sheetData>
    <row r="2" spans="2:13" x14ac:dyDescent="0.25">
      <c r="B2" t="s">
        <v>10</v>
      </c>
    </row>
    <row r="3" spans="2:13" x14ac:dyDescent="0.25">
      <c r="B3" s="2">
        <v>1</v>
      </c>
      <c r="C3" s="2">
        <v>70</v>
      </c>
      <c r="D3" s="2">
        <v>90</v>
      </c>
      <c r="E3" s="2">
        <v>70</v>
      </c>
      <c r="F3" s="2">
        <v>20</v>
      </c>
      <c r="G3" s="2">
        <v>250</v>
      </c>
      <c r="H3" s="2">
        <v>0</v>
      </c>
      <c r="I3" s="2" t="s">
        <v>72</v>
      </c>
      <c r="J3" s="2" t="s">
        <v>72</v>
      </c>
      <c r="K3" s="2">
        <v>1</v>
      </c>
      <c r="L3" s="3">
        <v>1.736111111111111E-3</v>
      </c>
      <c r="M3" s="2">
        <v>7</v>
      </c>
    </row>
    <row r="4" spans="2:13" x14ac:dyDescent="0.25">
      <c r="B4" s="2">
        <v>2</v>
      </c>
      <c r="C4" s="2">
        <v>115</v>
      </c>
      <c r="D4" s="2">
        <v>150</v>
      </c>
      <c r="E4" s="2">
        <v>115</v>
      </c>
      <c r="F4" s="2">
        <v>35</v>
      </c>
      <c r="G4" s="2">
        <v>415</v>
      </c>
      <c r="H4" s="2">
        <v>0</v>
      </c>
      <c r="I4" s="2" t="s">
        <v>72</v>
      </c>
      <c r="J4" s="2" t="s">
        <v>72</v>
      </c>
      <c r="K4" s="2">
        <v>1</v>
      </c>
      <c r="L4" s="3">
        <v>5.0925925925925921E-3</v>
      </c>
      <c r="M4" s="2">
        <v>13</v>
      </c>
    </row>
    <row r="5" spans="2:13" x14ac:dyDescent="0.25">
      <c r="B5" s="2">
        <v>3</v>
      </c>
      <c r="C5" s="2">
        <v>195</v>
      </c>
      <c r="D5" s="2">
        <v>250</v>
      </c>
      <c r="E5" s="2">
        <v>195</v>
      </c>
      <c r="F5" s="2">
        <v>55</v>
      </c>
      <c r="G5" s="2">
        <v>695</v>
      </c>
      <c r="H5" s="2">
        <v>0</v>
      </c>
      <c r="I5" s="2" t="s">
        <v>72</v>
      </c>
      <c r="J5" s="2" t="s">
        <v>72</v>
      </c>
      <c r="K5" s="2">
        <v>2</v>
      </c>
      <c r="L5" s="3">
        <v>1.0416666666666666E-2</v>
      </c>
      <c r="M5" s="2">
        <v>21</v>
      </c>
    </row>
    <row r="6" spans="2:13" x14ac:dyDescent="0.25">
      <c r="B6" s="2">
        <v>4</v>
      </c>
      <c r="C6" s="2">
        <v>325</v>
      </c>
      <c r="D6" s="2">
        <v>420</v>
      </c>
      <c r="E6" s="2">
        <v>325</v>
      </c>
      <c r="F6" s="2">
        <v>95</v>
      </c>
      <c r="G6" s="2">
        <v>1165</v>
      </c>
      <c r="H6" s="2">
        <v>0</v>
      </c>
      <c r="I6" s="2" t="s">
        <v>72</v>
      </c>
      <c r="J6" s="2" t="s">
        <v>72</v>
      </c>
      <c r="K6" s="2">
        <v>2</v>
      </c>
      <c r="L6" s="3">
        <v>1.909722222222222E-2</v>
      </c>
      <c r="M6" s="2">
        <v>31</v>
      </c>
    </row>
    <row r="7" spans="2:13" x14ac:dyDescent="0.25">
      <c r="B7" s="2">
        <v>5</v>
      </c>
      <c r="C7" s="2">
        <v>545</v>
      </c>
      <c r="D7" s="2">
        <v>700</v>
      </c>
      <c r="E7" s="2">
        <v>545</v>
      </c>
      <c r="F7" s="2">
        <v>155</v>
      </c>
      <c r="G7" s="2">
        <v>1945</v>
      </c>
      <c r="H7" s="2">
        <v>0</v>
      </c>
      <c r="I7" s="2" t="s">
        <v>72</v>
      </c>
      <c r="J7" s="2" t="s">
        <v>72</v>
      </c>
      <c r="K7" s="2">
        <v>2</v>
      </c>
      <c r="L7" s="3">
        <v>3.2754629629629627E-2</v>
      </c>
      <c r="M7" s="2">
        <v>46</v>
      </c>
    </row>
    <row r="8" spans="2:13" x14ac:dyDescent="0.25">
      <c r="B8" s="2">
        <v>6</v>
      </c>
      <c r="C8" s="2">
        <v>910</v>
      </c>
      <c r="D8" s="2">
        <v>1170</v>
      </c>
      <c r="E8" s="2">
        <v>910</v>
      </c>
      <c r="F8" s="2">
        <v>260</v>
      </c>
      <c r="G8" s="2">
        <v>3250</v>
      </c>
      <c r="H8" s="2">
        <v>1</v>
      </c>
      <c r="I8" s="2" t="s">
        <v>73</v>
      </c>
      <c r="J8" s="2" t="s">
        <v>72</v>
      </c>
      <c r="K8" s="2">
        <v>3</v>
      </c>
      <c r="L8" s="3">
        <v>5.4745370370370368E-2</v>
      </c>
      <c r="M8" s="2">
        <v>70</v>
      </c>
    </row>
    <row r="9" spans="2:13" x14ac:dyDescent="0.25">
      <c r="B9" s="2">
        <v>7</v>
      </c>
      <c r="C9" s="2">
        <v>1520</v>
      </c>
      <c r="D9" s="2">
        <v>1950</v>
      </c>
      <c r="E9" s="2">
        <v>1520</v>
      </c>
      <c r="F9" s="2">
        <v>435</v>
      </c>
      <c r="G9" s="2">
        <v>5425</v>
      </c>
      <c r="H9" s="2">
        <v>1</v>
      </c>
      <c r="I9" s="2" t="s">
        <v>74</v>
      </c>
      <c r="J9" s="2" t="s">
        <v>72</v>
      </c>
      <c r="K9" s="2">
        <v>4</v>
      </c>
      <c r="L9" s="3">
        <v>9.0046296296296291E-2</v>
      </c>
      <c r="M9" s="2">
        <v>98</v>
      </c>
    </row>
    <row r="10" spans="2:13" x14ac:dyDescent="0.25">
      <c r="B10" s="2">
        <v>8</v>
      </c>
      <c r="C10" s="2">
        <v>2535</v>
      </c>
      <c r="D10" s="2">
        <v>3260</v>
      </c>
      <c r="E10" s="2">
        <v>2535</v>
      </c>
      <c r="F10" s="2">
        <v>725</v>
      </c>
      <c r="G10" s="2">
        <v>9055</v>
      </c>
      <c r="H10" s="2">
        <v>1</v>
      </c>
      <c r="I10" s="2" t="s">
        <v>75</v>
      </c>
      <c r="J10" s="2" t="s">
        <v>72</v>
      </c>
      <c r="K10" s="2">
        <v>4</v>
      </c>
      <c r="L10" s="3">
        <v>0.14629629629629629</v>
      </c>
      <c r="M10" s="2">
        <v>140</v>
      </c>
    </row>
    <row r="11" spans="2:13" x14ac:dyDescent="0.25">
      <c r="B11" s="2">
        <v>9</v>
      </c>
      <c r="C11" s="2">
        <v>4235</v>
      </c>
      <c r="D11" s="2">
        <v>5445</v>
      </c>
      <c r="E11" s="2">
        <v>4235</v>
      </c>
      <c r="F11" s="2">
        <v>1210</v>
      </c>
      <c r="G11" s="2">
        <v>15125</v>
      </c>
      <c r="H11" s="2">
        <v>1</v>
      </c>
      <c r="I11" s="2" t="s">
        <v>77</v>
      </c>
      <c r="J11" s="2" t="s">
        <v>76</v>
      </c>
      <c r="K11" s="2">
        <v>5</v>
      </c>
      <c r="L11" s="3">
        <v>0.23645833333333333</v>
      </c>
      <c r="M11" s="2">
        <v>203</v>
      </c>
    </row>
    <row r="12" spans="2:13" x14ac:dyDescent="0.25">
      <c r="B12" s="2">
        <v>10</v>
      </c>
      <c r="C12" s="2">
        <v>7070</v>
      </c>
      <c r="D12" s="2">
        <v>9095</v>
      </c>
      <c r="E12" s="2">
        <v>7070</v>
      </c>
      <c r="F12" s="2">
        <v>2020</v>
      </c>
      <c r="G12" s="2">
        <v>25255</v>
      </c>
      <c r="H12" s="2">
        <v>1</v>
      </c>
      <c r="I12" s="2" t="s">
        <v>80</v>
      </c>
      <c r="J12" s="2" t="s">
        <v>74</v>
      </c>
      <c r="K12" s="2">
        <v>6</v>
      </c>
      <c r="L12" s="3">
        <v>0.38055555555555554</v>
      </c>
      <c r="M12" s="2">
        <v>280</v>
      </c>
    </row>
    <row r="13" spans="2:13" x14ac:dyDescent="0.25">
      <c r="B13" s="2">
        <v>11</v>
      </c>
      <c r="C13" s="2">
        <v>11810</v>
      </c>
      <c r="D13" s="2">
        <v>15185</v>
      </c>
      <c r="E13" s="2">
        <v>11810</v>
      </c>
      <c r="F13" s="2">
        <v>3375</v>
      </c>
      <c r="G13" s="2">
        <v>42180</v>
      </c>
      <c r="H13" s="2">
        <v>1</v>
      </c>
      <c r="I13" s="2" t="s">
        <v>81</v>
      </c>
      <c r="J13" s="2" t="s">
        <v>75</v>
      </c>
      <c r="K13" s="2">
        <v>7</v>
      </c>
      <c r="L13" s="3">
        <v>0.61122685185185188</v>
      </c>
      <c r="M13" s="2">
        <v>392</v>
      </c>
    </row>
    <row r="14" spans="2:13" x14ac:dyDescent="0.25">
      <c r="B14" s="2">
        <v>12</v>
      </c>
      <c r="C14" s="2">
        <v>19725</v>
      </c>
      <c r="D14" s="2">
        <v>25360</v>
      </c>
      <c r="E14" s="2">
        <v>19725</v>
      </c>
      <c r="F14" s="2">
        <v>5635</v>
      </c>
      <c r="G14" s="2">
        <v>70445</v>
      </c>
      <c r="H14" s="2">
        <v>1</v>
      </c>
      <c r="I14" s="2" t="s">
        <v>82</v>
      </c>
      <c r="J14" s="2" t="s">
        <v>77</v>
      </c>
      <c r="K14" s="2">
        <v>9</v>
      </c>
      <c r="L14" s="3">
        <v>0.98032407407407407</v>
      </c>
      <c r="M14" s="2">
        <v>525</v>
      </c>
    </row>
    <row r="15" spans="2:13" x14ac:dyDescent="0.25">
      <c r="B15" s="2">
        <v>13</v>
      </c>
      <c r="C15" s="2">
        <v>32940</v>
      </c>
      <c r="D15" s="2">
        <v>42350</v>
      </c>
      <c r="E15" s="2">
        <v>32940</v>
      </c>
      <c r="F15" s="2">
        <v>9410</v>
      </c>
      <c r="G15" s="2">
        <v>117640</v>
      </c>
      <c r="H15" s="2">
        <v>1</v>
      </c>
      <c r="I15" s="2" t="s">
        <v>83</v>
      </c>
      <c r="J15" s="2" t="s">
        <v>80</v>
      </c>
      <c r="K15" s="2">
        <v>11</v>
      </c>
      <c r="L15" s="4">
        <v>1.5707175925925927</v>
      </c>
      <c r="M15" s="2">
        <v>693</v>
      </c>
    </row>
    <row r="16" spans="2:13" x14ac:dyDescent="0.25">
      <c r="B16" s="2">
        <v>14</v>
      </c>
      <c r="C16" s="2">
        <v>55005</v>
      </c>
      <c r="D16" s="2">
        <v>70720</v>
      </c>
      <c r="E16" s="2">
        <v>55005</v>
      </c>
      <c r="F16" s="2">
        <v>15715</v>
      </c>
      <c r="G16" s="2">
        <v>196445</v>
      </c>
      <c r="H16" s="2">
        <v>1</v>
      </c>
      <c r="I16" s="2" t="s">
        <v>84</v>
      </c>
      <c r="J16" s="2" t="s">
        <v>81</v>
      </c>
      <c r="K16" s="2">
        <v>13</v>
      </c>
      <c r="L16" s="4">
        <v>2.5155092592592592</v>
      </c>
      <c r="M16" s="2">
        <v>889</v>
      </c>
    </row>
    <row r="17" spans="2:13" x14ac:dyDescent="0.25">
      <c r="B17" s="2">
        <v>15</v>
      </c>
      <c r="C17" s="2">
        <v>91860</v>
      </c>
      <c r="D17" s="2">
        <v>118105</v>
      </c>
      <c r="E17" s="2">
        <v>91860</v>
      </c>
      <c r="F17" s="2">
        <v>26245</v>
      </c>
      <c r="G17" s="2">
        <v>328070</v>
      </c>
      <c r="H17" s="2">
        <v>1</v>
      </c>
      <c r="I17" s="2" t="s">
        <v>85</v>
      </c>
      <c r="J17" s="2" t="s">
        <v>86</v>
      </c>
      <c r="K17" s="2">
        <v>15</v>
      </c>
      <c r="L17" s="4">
        <v>4.0271990740740735</v>
      </c>
      <c r="M17" s="2">
        <v>1120</v>
      </c>
    </row>
    <row r="18" spans="2:13" x14ac:dyDescent="0.25">
      <c r="B18" s="2">
        <v>16</v>
      </c>
      <c r="C18" s="2">
        <v>153405</v>
      </c>
      <c r="D18" s="2">
        <v>197240</v>
      </c>
      <c r="E18" s="2">
        <v>153405</v>
      </c>
      <c r="F18" s="2">
        <v>43830</v>
      </c>
      <c r="G18" s="2">
        <v>547880</v>
      </c>
      <c r="H18" s="2">
        <v>2</v>
      </c>
      <c r="I18" s="2" t="s">
        <v>87</v>
      </c>
      <c r="J18" s="2" t="s">
        <v>83</v>
      </c>
      <c r="K18" s="2">
        <v>18</v>
      </c>
      <c r="L18" s="4">
        <v>6.4457175925925929</v>
      </c>
      <c r="M18" s="2">
        <v>1400</v>
      </c>
    </row>
    <row r="19" spans="2:13" x14ac:dyDescent="0.25">
      <c r="B19" s="2">
        <v>17</v>
      </c>
      <c r="C19" s="2">
        <v>256190</v>
      </c>
      <c r="D19" s="2">
        <v>329385</v>
      </c>
      <c r="E19" s="2">
        <v>256190</v>
      </c>
      <c r="F19" s="2">
        <v>73195</v>
      </c>
      <c r="G19" s="2">
        <v>914960</v>
      </c>
      <c r="H19" s="2">
        <v>2</v>
      </c>
      <c r="I19" s="2" t="s">
        <v>88</v>
      </c>
      <c r="J19" s="2" t="s">
        <v>84</v>
      </c>
      <c r="K19" s="2">
        <v>22</v>
      </c>
      <c r="L19" s="4">
        <v>10.31550925925926</v>
      </c>
      <c r="M19" s="2">
        <v>1820</v>
      </c>
    </row>
    <row r="20" spans="2:13" x14ac:dyDescent="0.25">
      <c r="B20" s="2">
        <v>18</v>
      </c>
      <c r="C20" s="2">
        <v>427835</v>
      </c>
      <c r="D20" s="2">
        <v>550075</v>
      </c>
      <c r="E20" s="2">
        <v>427835</v>
      </c>
      <c r="F20" s="2">
        <v>122240</v>
      </c>
      <c r="G20" s="2">
        <v>1527985</v>
      </c>
      <c r="H20" s="2">
        <v>2</v>
      </c>
      <c r="I20" s="2" t="s">
        <v>89</v>
      </c>
      <c r="J20" s="2" t="s">
        <v>85</v>
      </c>
      <c r="K20" s="2">
        <v>27</v>
      </c>
      <c r="L20" s="4">
        <v>16.507060185185185</v>
      </c>
      <c r="M20" s="2">
        <v>2240</v>
      </c>
    </row>
    <row r="21" spans="2:13" x14ac:dyDescent="0.25">
      <c r="B21" s="2">
        <v>19</v>
      </c>
      <c r="C21" s="2">
        <v>714485</v>
      </c>
      <c r="D21" s="2">
        <v>918625</v>
      </c>
      <c r="E21" s="2">
        <v>714485</v>
      </c>
      <c r="F21" s="2">
        <v>204140</v>
      </c>
      <c r="G21" s="2">
        <v>2551735</v>
      </c>
      <c r="H21" s="2">
        <v>2</v>
      </c>
      <c r="I21" s="2" t="s">
        <v>90</v>
      </c>
      <c r="J21" s="2" t="s">
        <v>91</v>
      </c>
      <c r="K21" s="2">
        <v>32</v>
      </c>
      <c r="L21" s="4">
        <v>26.41365740740741</v>
      </c>
      <c r="M21" s="2">
        <v>2800</v>
      </c>
    </row>
    <row r="22" spans="2:13" x14ac:dyDescent="0.25">
      <c r="B22" s="2">
        <v>20</v>
      </c>
      <c r="C22" s="2">
        <v>1193195</v>
      </c>
      <c r="D22" s="2">
        <v>1534105</v>
      </c>
      <c r="E22" s="2">
        <v>1193195</v>
      </c>
      <c r="F22" s="2">
        <v>340915</v>
      </c>
      <c r="G22" s="2">
        <v>4261410</v>
      </c>
      <c r="H22" s="2">
        <v>2</v>
      </c>
      <c r="I22" s="2" t="s">
        <v>92</v>
      </c>
      <c r="J22" s="2" t="s">
        <v>93</v>
      </c>
      <c r="K22" s="2">
        <v>38</v>
      </c>
      <c r="L22" s="4">
        <v>42.26423611111111</v>
      </c>
      <c r="M22" s="2">
        <v>3430</v>
      </c>
    </row>
    <row r="24" spans="2:13" x14ac:dyDescent="0.25">
      <c r="B24" t="s">
        <v>5</v>
      </c>
    </row>
    <row r="25" spans="2:13" x14ac:dyDescent="0.25">
      <c r="B25" s="2">
        <v>1</v>
      </c>
      <c r="C25" s="2">
        <v>80</v>
      </c>
      <c r="D25" s="2">
        <v>40</v>
      </c>
      <c r="E25" s="2">
        <v>80</v>
      </c>
      <c r="F25" s="2">
        <v>50</v>
      </c>
      <c r="G25" s="2">
        <v>250</v>
      </c>
      <c r="H25" s="2">
        <v>2</v>
      </c>
      <c r="I25" s="2" t="s">
        <v>72</v>
      </c>
      <c r="J25" s="2" t="s">
        <v>72</v>
      </c>
      <c r="K25" s="2">
        <v>1</v>
      </c>
      <c r="L25" s="3">
        <v>2.5462962962962961E-3</v>
      </c>
      <c r="M25" s="2">
        <v>7</v>
      </c>
    </row>
    <row r="26" spans="2:13" x14ac:dyDescent="0.25">
      <c r="B26" s="2">
        <v>2</v>
      </c>
      <c r="C26" s="2">
        <v>135</v>
      </c>
      <c r="D26" s="2">
        <v>65</v>
      </c>
      <c r="E26" s="2">
        <v>135</v>
      </c>
      <c r="F26" s="2">
        <v>85</v>
      </c>
      <c r="G26" s="2">
        <v>420</v>
      </c>
      <c r="H26" s="2">
        <v>1</v>
      </c>
      <c r="I26" s="2" t="s">
        <v>72</v>
      </c>
      <c r="J26" s="2" t="s">
        <v>72</v>
      </c>
      <c r="K26" s="2">
        <v>1</v>
      </c>
      <c r="L26" s="3">
        <v>6.3657407407407404E-3</v>
      </c>
      <c r="M26" s="2">
        <v>13</v>
      </c>
    </row>
    <row r="27" spans="2:13" x14ac:dyDescent="0.25">
      <c r="B27" s="2">
        <v>3</v>
      </c>
      <c r="C27" s="2">
        <v>225</v>
      </c>
      <c r="D27" s="2">
        <v>110</v>
      </c>
      <c r="E27" s="2">
        <v>225</v>
      </c>
      <c r="F27" s="2">
        <v>140</v>
      </c>
      <c r="G27" s="2">
        <v>700</v>
      </c>
      <c r="H27" s="2">
        <v>1</v>
      </c>
      <c r="I27" s="2" t="s">
        <v>72</v>
      </c>
      <c r="J27" s="2" t="s">
        <v>72</v>
      </c>
      <c r="K27" s="2">
        <v>2</v>
      </c>
      <c r="L27" s="3">
        <v>1.2499999999999999E-2</v>
      </c>
      <c r="M27" s="2">
        <v>21</v>
      </c>
    </row>
    <row r="28" spans="2:13" x14ac:dyDescent="0.25">
      <c r="B28" s="2">
        <v>4</v>
      </c>
      <c r="C28" s="2">
        <v>375</v>
      </c>
      <c r="D28" s="2">
        <v>185</v>
      </c>
      <c r="E28" s="2">
        <v>375</v>
      </c>
      <c r="F28" s="2">
        <v>235</v>
      </c>
      <c r="G28" s="2">
        <v>1170</v>
      </c>
      <c r="H28" s="2">
        <v>1</v>
      </c>
      <c r="I28" s="2" t="s">
        <v>72</v>
      </c>
      <c r="J28" s="2" t="s">
        <v>72</v>
      </c>
      <c r="K28" s="2">
        <v>2</v>
      </c>
      <c r="L28" s="3">
        <v>2.2337962962962962E-2</v>
      </c>
      <c r="M28" s="2">
        <v>31</v>
      </c>
    </row>
    <row r="29" spans="2:13" x14ac:dyDescent="0.25">
      <c r="B29" s="2">
        <v>5</v>
      </c>
      <c r="C29" s="2">
        <v>620</v>
      </c>
      <c r="D29" s="2">
        <v>310</v>
      </c>
      <c r="E29" s="2">
        <v>620</v>
      </c>
      <c r="F29" s="2">
        <v>390</v>
      </c>
      <c r="G29" s="2">
        <v>1940</v>
      </c>
      <c r="H29" s="2">
        <v>1</v>
      </c>
      <c r="I29" s="2" t="s">
        <v>72</v>
      </c>
      <c r="J29" s="2" t="s">
        <v>72</v>
      </c>
      <c r="K29" s="2">
        <v>2</v>
      </c>
      <c r="L29" s="3">
        <v>3.8078703703703705E-2</v>
      </c>
      <c r="M29" s="2">
        <v>46</v>
      </c>
    </row>
    <row r="30" spans="2:13" x14ac:dyDescent="0.25">
      <c r="B30" s="2">
        <v>6</v>
      </c>
      <c r="C30" s="2">
        <v>1040</v>
      </c>
      <c r="D30" s="2">
        <v>520</v>
      </c>
      <c r="E30" s="2">
        <v>1040</v>
      </c>
      <c r="F30" s="2">
        <v>650</v>
      </c>
      <c r="G30" s="2">
        <v>3250</v>
      </c>
      <c r="H30" s="2">
        <v>2</v>
      </c>
      <c r="I30" s="2" t="s">
        <v>73</v>
      </c>
      <c r="J30" s="2" t="s">
        <v>72</v>
      </c>
      <c r="K30" s="2">
        <v>3</v>
      </c>
      <c r="L30" s="3">
        <v>6.3310185185185178E-2</v>
      </c>
      <c r="M30" s="2">
        <v>70</v>
      </c>
    </row>
    <row r="31" spans="2:13" x14ac:dyDescent="0.25">
      <c r="B31" s="2">
        <v>7</v>
      </c>
      <c r="C31" s="2">
        <v>1735</v>
      </c>
      <c r="D31" s="2">
        <v>870</v>
      </c>
      <c r="E31" s="2">
        <v>1735</v>
      </c>
      <c r="F31" s="2">
        <v>1085</v>
      </c>
      <c r="G31" s="2">
        <v>5425</v>
      </c>
      <c r="H31" s="2">
        <v>2</v>
      </c>
      <c r="I31" s="2" t="s">
        <v>74</v>
      </c>
      <c r="J31" s="2" t="s">
        <v>73</v>
      </c>
      <c r="K31" s="2">
        <v>4</v>
      </c>
      <c r="L31" s="3">
        <v>0.10358796296296297</v>
      </c>
      <c r="M31" s="2">
        <v>98</v>
      </c>
    </row>
    <row r="32" spans="2:13" x14ac:dyDescent="0.25">
      <c r="B32" s="2">
        <v>8</v>
      </c>
      <c r="C32" s="2">
        <v>2900</v>
      </c>
      <c r="D32" s="2">
        <v>1450</v>
      </c>
      <c r="E32" s="2">
        <v>2900</v>
      </c>
      <c r="F32" s="2">
        <v>1810</v>
      </c>
      <c r="G32" s="2">
        <v>9060</v>
      </c>
      <c r="H32" s="2">
        <v>2</v>
      </c>
      <c r="I32" s="2" t="s">
        <v>94</v>
      </c>
      <c r="J32" s="2" t="s">
        <v>74</v>
      </c>
      <c r="K32" s="2">
        <v>4</v>
      </c>
      <c r="L32" s="3">
        <v>0.16805555555555554</v>
      </c>
      <c r="M32" s="2">
        <v>140</v>
      </c>
    </row>
    <row r="33" spans="2:13" x14ac:dyDescent="0.25">
      <c r="B33" s="2">
        <v>9</v>
      </c>
      <c r="C33" s="2">
        <v>4840</v>
      </c>
      <c r="D33" s="2">
        <v>2420</v>
      </c>
      <c r="E33" s="2">
        <v>4840</v>
      </c>
      <c r="F33" s="2">
        <v>3025</v>
      </c>
      <c r="G33" s="2">
        <v>15125</v>
      </c>
      <c r="H33" s="2">
        <v>2</v>
      </c>
      <c r="I33" s="2" t="s">
        <v>95</v>
      </c>
      <c r="J33" s="2" t="s">
        <v>94</v>
      </c>
      <c r="K33" s="2">
        <v>5</v>
      </c>
      <c r="L33" s="3">
        <v>0.27118055555555554</v>
      </c>
      <c r="M33" s="2">
        <v>203</v>
      </c>
    </row>
    <row r="34" spans="2:13" x14ac:dyDescent="0.25">
      <c r="B34" s="2">
        <v>10</v>
      </c>
      <c r="C34" s="2">
        <v>8080</v>
      </c>
      <c r="D34" s="2">
        <v>4040</v>
      </c>
      <c r="E34" s="2">
        <v>8080</v>
      </c>
      <c r="F34" s="2">
        <v>5050</v>
      </c>
      <c r="G34" s="2">
        <v>25250</v>
      </c>
      <c r="H34" s="2">
        <v>2</v>
      </c>
      <c r="I34" s="2" t="s">
        <v>80</v>
      </c>
      <c r="J34" s="2" t="s">
        <v>77</v>
      </c>
      <c r="K34" s="2">
        <v>6</v>
      </c>
      <c r="L34" s="3">
        <v>0.43622685185185189</v>
      </c>
      <c r="M34" s="2">
        <v>280</v>
      </c>
    </row>
    <row r="35" spans="2:13" x14ac:dyDescent="0.25">
      <c r="B35" s="2">
        <v>11</v>
      </c>
      <c r="C35" s="2">
        <v>13500</v>
      </c>
      <c r="D35" s="2">
        <v>6750</v>
      </c>
      <c r="E35" s="2">
        <v>13500</v>
      </c>
      <c r="F35" s="2">
        <v>8435</v>
      </c>
      <c r="G35" s="2">
        <v>42185</v>
      </c>
      <c r="H35" s="2">
        <v>2</v>
      </c>
      <c r="I35" s="2" t="s">
        <v>96</v>
      </c>
      <c r="J35" s="2" t="s">
        <v>80</v>
      </c>
      <c r="K35" s="2">
        <v>7</v>
      </c>
      <c r="L35" s="3">
        <v>0.70034722222222223</v>
      </c>
      <c r="M35" s="2">
        <v>392</v>
      </c>
    </row>
    <row r="36" spans="2:13" x14ac:dyDescent="0.25">
      <c r="B36" s="2">
        <v>12</v>
      </c>
      <c r="C36" s="2">
        <v>22540</v>
      </c>
      <c r="D36" s="2">
        <v>11270</v>
      </c>
      <c r="E36" s="2">
        <v>22540</v>
      </c>
      <c r="F36" s="2">
        <v>14090</v>
      </c>
      <c r="G36" s="2">
        <v>70440</v>
      </c>
      <c r="H36" s="2">
        <v>2</v>
      </c>
      <c r="I36" s="2" t="s">
        <v>82</v>
      </c>
      <c r="J36" s="2" t="s">
        <v>96</v>
      </c>
      <c r="K36" s="2">
        <v>9</v>
      </c>
      <c r="L36" s="4">
        <v>1.122800925925926</v>
      </c>
      <c r="M36" s="2">
        <v>525</v>
      </c>
    </row>
    <row r="37" spans="2:13" x14ac:dyDescent="0.25">
      <c r="B37" s="2">
        <v>13</v>
      </c>
      <c r="C37" s="2">
        <v>37645</v>
      </c>
      <c r="D37" s="2">
        <v>18820</v>
      </c>
      <c r="E37" s="2">
        <v>37645</v>
      </c>
      <c r="F37" s="2">
        <v>23525</v>
      </c>
      <c r="G37" s="2">
        <v>117635</v>
      </c>
      <c r="H37" s="2">
        <v>2</v>
      </c>
      <c r="I37" s="2" t="s">
        <v>97</v>
      </c>
      <c r="J37" s="2" t="s">
        <v>82</v>
      </c>
      <c r="K37" s="2">
        <v>11</v>
      </c>
      <c r="L37" s="4">
        <v>1.7988425925925926</v>
      </c>
      <c r="M37" s="2">
        <v>693</v>
      </c>
    </row>
    <row r="38" spans="2:13" x14ac:dyDescent="0.25">
      <c r="B38" s="2">
        <v>14</v>
      </c>
      <c r="C38" s="2">
        <v>62865</v>
      </c>
      <c r="D38" s="2">
        <v>31430</v>
      </c>
      <c r="E38" s="2">
        <v>62865</v>
      </c>
      <c r="F38" s="2">
        <v>39290</v>
      </c>
      <c r="G38" s="2">
        <v>196450</v>
      </c>
      <c r="H38" s="2">
        <v>2</v>
      </c>
      <c r="I38" s="2" t="s">
        <v>98</v>
      </c>
      <c r="J38" s="2" t="s">
        <v>83</v>
      </c>
      <c r="K38" s="2">
        <v>13</v>
      </c>
      <c r="L38" s="4">
        <v>2.8804398148148151</v>
      </c>
      <c r="M38" s="2">
        <v>889</v>
      </c>
    </row>
    <row r="39" spans="2:13" x14ac:dyDescent="0.25">
      <c r="B39" s="2">
        <v>15</v>
      </c>
      <c r="C39" s="2">
        <v>104985</v>
      </c>
      <c r="D39" s="2">
        <v>52490</v>
      </c>
      <c r="E39" s="2">
        <v>104985</v>
      </c>
      <c r="F39" s="2">
        <v>65615</v>
      </c>
      <c r="G39" s="2">
        <v>328075</v>
      </c>
      <c r="H39" s="2">
        <v>2</v>
      </c>
      <c r="I39" s="2" t="s">
        <v>99</v>
      </c>
      <c r="J39" s="2" t="s">
        <v>98</v>
      </c>
      <c r="K39" s="2">
        <v>15</v>
      </c>
      <c r="L39" s="4">
        <v>4.6109953703703708</v>
      </c>
      <c r="M39" s="2">
        <v>1120</v>
      </c>
    </row>
    <row r="40" spans="2:13" x14ac:dyDescent="0.25">
      <c r="B40" s="2">
        <v>16</v>
      </c>
      <c r="C40" s="2">
        <v>175320</v>
      </c>
      <c r="D40" s="2">
        <v>87660</v>
      </c>
      <c r="E40" s="2">
        <v>175320</v>
      </c>
      <c r="F40" s="2">
        <v>109575</v>
      </c>
      <c r="G40" s="2">
        <v>547875</v>
      </c>
      <c r="H40" s="2">
        <v>3</v>
      </c>
      <c r="I40" s="2" t="s">
        <v>100</v>
      </c>
      <c r="J40" s="2" t="s">
        <v>101</v>
      </c>
      <c r="K40" s="2">
        <v>18</v>
      </c>
      <c r="L40" s="4">
        <v>7.3798611111111114</v>
      </c>
      <c r="M40" s="2">
        <v>1400</v>
      </c>
    </row>
    <row r="41" spans="2:13" x14ac:dyDescent="0.25">
      <c r="B41" s="2">
        <v>17</v>
      </c>
      <c r="C41" s="2">
        <v>292790</v>
      </c>
      <c r="D41" s="2">
        <v>146395</v>
      </c>
      <c r="E41" s="2">
        <v>292790</v>
      </c>
      <c r="F41" s="2">
        <v>182995</v>
      </c>
      <c r="G41" s="2">
        <v>914970</v>
      </c>
      <c r="H41" s="2">
        <v>3</v>
      </c>
      <c r="I41" s="2" t="s">
        <v>102</v>
      </c>
      <c r="J41" s="2" t="s">
        <v>103</v>
      </c>
      <c r="K41" s="2">
        <v>22</v>
      </c>
      <c r="L41" s="4">
        <v>11.810069444444444</v>
      </c>
      <c r="M41" s="2">
        <v>1820</v>
      </c>
    </row>
    <row r="42" spans="2:13" x14ac:dyDescent="0.25">
      <c r="B42" s="2">
        <v>18</v>
      </c>
      <c r="C42" s="2">
        <v>488955</v>
      </c>
      <c r="D42" s="2">
        <v>244480</v>
      </c>
      <c r="E42" s="2">
        <v>488955</v>
      </c>
      <c r="F42" s="2">
        <v>305600</v>
      </c>
      <c r="G42" s="2">
        <v>1527990</v>
      </c>
      <c r="H42" s="2">
        <v>3</v>
      </c>
      <c r="I42" s="2" t="s">
        <v>104</v>
      </c>
      <c r="J42" s="2" t="s">
        <v>105</v>
      </c>
      <c r="K42" s="2">
        <v>27</v>
      </c>
      <c r="L42" s="4">
        <v>18.89837962962963</v>
      </c>
      <c r="M42" s="2">
        <v>2240</v>
      </c>
    </row>
    <row r="43" spans="2:13" x14ac:dyDescent="0.25">
      <c r="B43" s="2">
        <v>19</v>
      </c>
      <c r="C43" s="2">
        <v>816555</v>
      </c>
      <c r="D43" s="2">
        <v>408280</v>
      </c>
      <c r="E43" s="2">
        <v>816555</v>
      </c>
      <c r="F43" s="2">
        <v>510350</v>
      </c>
      <c r="G43" s="2">
        <v>2551740</v>
      </c>
      <c r="H43" s="2">
        <v>3</v>
      </c>
      <c r="I43" s="2" t="s">
        <v>106</v>
      </c>
      <c r="J43" s="2" t="s">
        <v>107</v>
      </c>
      <c r="K43" s="2">
        <v>32</v>
      </c>
      <c r="L43" s="4">
        <v>30.239699074074071</v>
      </c>
      <c r="M43" s="2">
        <v>2800</v>
      </c>
    </row>
    <row r="44" spans="2:13" x14ac:dyDescent="0.25">
      <c r="B44" s="2">
        <v>20</v>
      </c>
      <c r="C44" s="2">
        <v>1363650</v>
      </c>
      <c r="D44" s="2">
        <v>681825</v>
      </c>
      <c r="E44" s="2">
        <v>1363650</v>
      </c>
      <c r="F44" s="2">
        <v>852280</v>
      </c>
      <c r="G44" s="2">
        <v>4261405</v>
      </c>
      <c r="H44" s="2">
        <v>3</v>
      </c>
      <c r="I44" s="2" t="s">
        <v>108</v>
      </c>
      <c r="J44" s="2" t="s">
        <v>109</v>
      </c>
      <c r="K44" s="2">
        <v>38</v>
      </c>
      <c r="L44" s="4">
        <v>48.385879629629635</v>
      </c>
      <c r="M44" s="2">
        <v>3430</v>
      </c>
    </row>
    <row r="46" spans="2:13" x14ac:dyDescent="0.25">
      <c r="B46" t="s">
        <v>8</v>
      </c>
    </row>
    <row r="47" spans="2:13" x14ac:dyDescent="0.25">
      <c r="B47" s="2">
        <v>1</v>
      </c>
      <c r="C47" s="2">
        <v>100</v>
      </c>
      <c r="D47" s="2">
        <v>80</v>
      </c>
      <c r="E47" s="2">
        <v>30</v>
      </c>
      <c r="F47" s="2">
        <v>60</v>
      </c>
      <c r="G47" s="2">
        <v>270</v>
      </c>
      <c r="H47" s="2">
        <v>3</v>
      </c>
      <c r="I47" s="2" t="s">
        <v>72</v>
      </c>
      <c r="J47" s="2" t="s">
        <v>72</v>
      </c>
      <c r="K47" s="2">
        <v>1</v>
      </c>
      <c r="L47" s="3">
        <v>5.208333333333333E-3</v>
      </c>
      <c r="M47" s="2">
        <v>7</v>
      </c>
    </row>
    <row r="48" spans="2:13" x14ac:dyDescent="0.25">
      <c r="B48" s="2">
        <v>2</v>
      </c>
      <c r="C48" s="2">
        <v>165</v>
      </c>
      <c r="D48" s="2">
        <v>135</v>
      </c>
      <c r="E48" s="2">
        <v>50</v>
      </c>
      <c r="F48" s="2">
        <v>100</v>
      </c>
      <c r="G48" s="2">
        <v>450</v>
      </c>
      <c r="H48" s="2">
        <v>2</v>
      </c>
      <c r="I48" s="2" t="s">
        <v>72</v>
      </c>
      <c r="J48" s="2" t="s">
        <v>72</v>
      </c>
      <c r="K48" s="2">
        <v>1</v>
      </c>
      <c r="L48" s="3">
        <v>1.064814814814815E-2</v>
      </c>
      <c r="M48" s="2">
        <v>13</v>
      </c>
    </row>
    <row r="49" spans="2:13" x14ac:dyDescent="0.25">
      <c r="B49" s="2">
        <v>3</v>
      </c>
      <c r="C49" s="2">
        <v>280</v>
      </c>
      <c r="D49" s="2">
        <v>225</v>
      </c>
      <c r="E49" s="2">
        <v>85</v>
      </c>
      <c r="F49" s="2">
        <v>165</v>
      </c>
      <c r="G49" s="2">
        <v>755</v>
      </c>
      <c r="H49" s="2">
        <v>2</v>
      </c>
      <c r="I49" s="2" t="s">
        <v>72</v>
      </c>
      <c r="J49" s="2" t="s">
        <v>72</v>
      </c>
      <c r="K49" s="2">
        <v>2</v>
      </c>
      <c r="L49" s="3">
        <v>1.9328703703703702E-2</v>
      </c>
      <c r="M49" s="2">
        <v>21</v>
      </c>
    </row>
    <row r="50" spans="2:13" x14ac:dyDescent="0.25">
      <c r="B50" s="2">
        <v>4</v>
      </c>
      <c r="C50" s="2">
        <v>465</v>
      </c>
      <c r="D50" s="2">
        <v>375</v>
      </c>
      <c r="E50" s="2">
        <v>140</v>
      </c>
      <c r="F50" s="2">
        <v>280</v>
      </c>
      <c r="G50" s="2">
        <v>1260</v>
      </c>
      <c r="H50" s="2">
        <v>2</v>
      </c>
      <c r="I50" s="2" t="s">
        <v>72</v>
      </c>
      <c r="J50" s="2" t="s">
        <v>72</v>
      </c>
      <c r="K50" s="2">
        <v>2</v>
      </c>
      <c r="L50" s="3">
        <v>3.3333333333333333E-2</v>
      </c>
      <c r="M50" s="2">
        <v>31</v>
      </c>
    </row>
    <row r="51" spans="2:13" x14ac:dyDescent="0.25">
      <c r="B51" s="2">
        <v>5</v>
      </c>
      <c r="C51" s="2">
        <v>780</v>
      </c>
      <c r="D51" s="2">
        <v>620</v>
      </c>
      <c r="E51" s="2">
        <v>235</v>
      </c>
      <c r="F51" s="2">
        <v>465</v>
      </c>
      <c r="G51" s="2">
        <v>2100</v>
      </c>
      <c r="H51" s="2">
        <v>2</v>
      </c>
      <c r="I51" s="2" t="s">
        <v>72</v>
      </c>
      <c r="J51" s="2" t="s">
        <v>72</v>
      </c>
      <c r="K51" s="2">
        <v>2</v>
      </c>
      <c r="L51" s="3">
        <v>5.5555555555555552E-2</v>
      </c>
      <c r="M51" s="2">
        <v>46</v>
      </c>
    </row>
    <row r="52" spans="2:13" x14ac:dyDescent="0.25">
      <c r="B52" s="2">
        <v>6</v>
      </c>
      <c r="C52" s="2">
        <v>1300</v>
      </c>
      <c r="D52" s="2">
        <v>1040</v>
      </c>
      <c r="E52" s="2">
        <v>390</v>
      </c>
      <c r="F52" s="2">
        <v>780</v>
      </c>
      <c r="G52" s="2">
        <v>3510</v>
      </c>
      <c r="H52" s="2">
        <v>2</v>
      </c>
      <c r="I52" s="2" t="s">
        <v>76</v>
      </c>
      <c r="J52" s="2" t="s">
        <v>72</v>
      </c>
      <c r="K52" s="2">
        <v>3</v>
      </c>
      <c r="L52" s="3">
        <v>9.1203703703703717E-2</v>
      </c>
      <c r="M52" s="2">
        <v>70</v>
      </c>
    </row>
    <row r="53" spans="2:13" x14ac:dyDescent="0.25">
      <c r="B53" s="2">
        <v>7</v>
      </c>
      <c r="C53" s="2">
        <v>2170</v>
      </c>
      <c r="D53" s="2">
        <v>1735</v>
      </c>
      <c r="E53" s="2">
        <v>650</v>
      </c>
      <c r="F53" s="2">
        <v>1300</v>
      </c>
      <c r="G53" s="2">
        <v>5855</v>
      </c>
      <c r="H53" s="2">
        <v>2</v>
      </c>
      <c r="I53" s="2" t="s">
        <v>74</v>
      </c>
      <c r="J53" s="2" t="s">
        <v>76</v>
      </c>
      <c r="K53" s="2">
        <v>4</v>
      </c>
      <c r="L53" s="3">
        <v>0.14826388888888889</v>
      </c>
      <c r="M53" s="2">
        <v>98</v>
      </c>
    </row>
    <row r="54" spans="2:13" x14ac:dyDescent="0.25">
      <c r="B54" s="2">
        <v>8</v>
      </c>
      <c r="C54" s="2">
        <v>3625</v>
      </c>
      <c r="D54" s="2">
        <v>2900</v>
      </c>
      <c r="E54" s="2">
        <v>1085</v>
      </c>
      <c r="F54" s="2">
        <v>2175</v>
      </c>
      <c r="G54" s="2">
        <v>9785</v>
      </c>
      <c r="H54" s="2">
        <v>2</v>
      </c>
      <c r="I54" s="2" t="s">
        <v>75</v>
      </c>
      <c r="J54" s="2" t="s">
        <v>74</v>
      </c>
      <c r="K54" s="2">
        <v>4</v>
      </c>
      <c r="L54" s="3">
        <v>0.23946759259259257</v>
      </c>
      <c r="M54" s="2">
        <v>140</v>
      </c>
    </row>
    <row r="55" spans="2:13" x14ac:dyDescent="0.25">
      <c r="B55" s="2">
        <v>9</v>
      </c>
      <c r="C55" s="2">
        <v>6050</v>
      </c>
      <c r="D55" s="2">
        <v>4840</v>
      </c>
      <c r="E55" s="2">
        <v>1815</v>
      </c>
      <c r="F55" s="2">
        <v>3630</v>
      </c>
      <c r="G55" s="2">
        <v>16335</v>
      </c>
      <c r="H55" s="2">
        <v>2</v>
      </c>
      <c r="I55" s="2" t="s">
        <v>77</v>
      </c>
      <c r="J55" s="2" t="s">
        <v>75</v>
      </c>
      <c r="K55" s="2">
        <v>5</v>
      </c>
      <c r="L55" s="3">
        <v>0.38553240740740741</v>
      </c>
      <c r="M55" s="2">
        <v>203</v>
      </c>
    </row>
    <row r="56" spans="2:13" x14ac:dyDescent="0.25">
      <c r="B56" s="2">
        <v>10</v>
      </c>
      <c r="C56" s="2">
        <v>10105</v>
      </c>
      <c r="D56" s="2">
        <v>8080</v>
      </c>
      <c r="E56" s="2">
        <v>3030</v>
      </c>
      <c r="F56" s="2">
        <v>6060</v>
      </c>
      <c r="G56" s="2">
        <v>27275</v>
      </c>
      <c r="H56" s="2">
        <v>2</v>
      </c>
      <c r="I56" s="2" t="s">
        <v>110</v>
      </c>
      <c r="J56" s="2" t="s">
        <v>77</v>
      </c>
      <c r="K56" s="2">
        <v>6</v>
      </c>
      <c r="L56" s="3">
        <v>0.61921296296296291</v>
      </c>
      <c r="M56" s="2">
        <v>280</v>
      </c>
    </row>
    <row r="57" spans="2:13" x14ac:dyDescent="0.25">
      <c r="B57" s="2">
        <v>11</v>
      </c>
      <c r="C57" s="2">
        <v>16870</v>
      </c>
      <c r="D57" s="2">
        <v>13500</v>
      </c>
      <c r="E57" s="2">
        <v>5060</v>
      </c>
      <c r="F57" s="2">
        <v>10125</v>
      </c>
      <c r="G57" s="2">
        <v>45555</v>
      </c>
      <c r="H57" s="2">
        <v>3</v>
      </c>
      <c r="I57" s="2" t="s">
        <v>81</v>
      </c>
      <c r="J57" s="2" t="s">
        <v>110</v>
      </c>
      <c r="K57" s="2">
        <v>7</v>
      </c>
      <c r="L57" s="3">
        <v>0.99305555555555547</v>
      </c>
      <c r="M57" s="2">
        <v>392</v>
      </c>
    </row>
    <row r="58" spans="2:13" x14ac:dyDescent="0.25">
      <c r="B58" s="2">
        <v>12</v>
      </c>
      <c r="C58" s="2">
        <v>28175</v>
      </c>
      <c r="D58" s="2">
        <v>22540</v>
      </c>
      <c r="E58" s="2">
        <v>8455</v>
      </c>
      <c r="F58" s="2">
        <v>16905</v>
      </c>
      <c r="G58" s="2">
        <v>76075</v>
      </c>
      <c r="H58" s="2">
        <v>3</v>
      </c>
      <c r="I58" s="2" t="s">
        <v>86</v>
      </c>
      <c r="J58" s="2" t="s">
        <v>81</v>
      </c>
      <c r="K58" s="2">
        <v>9</v>
      </c>
      <c r="L58" s="4">
        <v>1.5910879629629628</v>
      </c>
      <c r="M58" s="2">
        <v>525</v>
      </c>
    </row>
    <row r="59" spans="2:13" x14ac:dyDescent="0.25">
      <c r="B59" s="2">
        <v>13</v>
      </c>
      <c r="C59" s="2">
        <v>47055</v>
      </c>
      <c r="D59" s="2">
        <v>37645</v>
      </c>
      <c r="E59" s="2">
        <v>14115</v>
      </c>
      <c r="F59" s="2">
        <v>28230</v>
      </c>
      <c r="G59" s="2">
        <v>127045</v>
      </c>
      <c r="H59" s="2">
        <v>3</v>
      </c>
      <c r="I59" s="2" t="s">
        <v>111</v>
      </c>
      <c r="J59" s="2" t="s">
        <v>86</v>
      </c>
      <c r="K59" s="2">
        <v>11</v>
      </c>
      <c r="L59" s="4">
        <v>2.5481481481481483</v>
      </c>
      <c r="M59" s="2">
        <v>693</v>
      </c>
    </row>
    <row r="60" spans="2:13" x14ac:dyDescent="0.25">
      <c r="B60" s="2">
        <v>14</v>
      </c>
      <c r="C60" s="2">
        <v>78580</v>
      </c>
      <c r="D60" s="2">
        <v>62865</v>
      </c>
      <c r="E60" s="2">
        <v>23575</v>
      </c>
      <c r="F60" s="2">
        <v>47150</v>
      </c>
      <c r="G60" s="2">
        <v>212170</v>
      </c>
      <c r="H60" s="2">
        <v>3</v>
      </c>
      <c r="I60" s="2" t="s">
        <v>84</v>
      </c>
      <c r="J60" s="2" t="s">
        <v>111</v>
      </c>
      <c r="K60" s="2">
        <v>13</v>
      </c>
      <c r="L60" s="4">
        <v>4.0792824074074074</v>
      </c>
      <c r="M60" s="2">
        <v>889</v>
      </c>
    </row>
    <row r="61" spans="2:13" x14ac:dyDescent="0.25">
      <c r="B61" s="2">
        <v>15</v>
      </c>
      <c r="C61" s="2">
        <v>131230</v>
      </c>
      <c r="D61" s="2">
        <v>104985</v>
      </c>
      <c r="E61" s="2">
        <v>39370</v>
      </c>
      <c r="F61" s="2">
        <v>78740</v>
      </c>
      <c r="G61" s="2">
        <v>354325</v>
      </c>
      <c r="H61" s="2">
        <v>3</v>
      </c>
      <c r="I61" s="2" t="s">
        <v>112</v>
      </c>
      <c r="J61" s="2" t="s">
        <v>84</v>
      </c>
      <c r="K61" s="2">
        <v>15</v>
      </c>
      <c r="L61" s="4">
        <v>6.5291666666666659</v>
      </c>
      <c r="M61" s="2">
        <v>1120</v>
      </c>
    </row>
    <row r="62" spans="2:13" x14ac:dyDescent="0.25">
      <c r="B62" s="2">
        <v>16</v>
      </c>
      <c r="C62" s="2">
        <v>219155</v>
      </c>
      <c r="D62" s="2">
        <v>175320</v>
      </c>
      <c r="E62" s="2">
        <v>65745</v>
      </c>
      <c r="F62" s="2">
        <v>131490</v>
      </c>
      <c r="G62" s="2">
        <v>591710</v>
      </c>
      <c r="H62" s="2">
        <v>3</v>
      </c>
      <c r="I62" s="2" t="s">
        <v>113</v>
      </c>
      <c r="J62" s="2" t="s">
        <v>112</v>
      </c>
      <c r="K62" s="2">
        <v>18</v>
      </c>
      <c r="L62" s="4">
        <v>10.448958333333334</v>
      </c>
      <c r="M62" s="2">
        <v>1400</v>
      </c>
    </row>
    <row r="63" spans="2:13" x14ac:dyDescent="0.25">
      <c r="B63" s="2">
        <v>17</v>
      </c>
      <c r="C63" s="2">
        <v>365985</v>
      </c>
      <c r="D63" s="2">
        <v>292790</v>
      </c>
      <c r="E63" s="2">
        <v>109795</v>
      </c>
      <c r="F63" s="2">
        <v>219590</v>
      </c>
      <c r="G63" s="2">
        <v>988160</v>
      </c>
      <c r="H63" s="2">
        <v>3</v>
      </c>
      <c r="I63" s="2" t="s">
        <v>114</v>
      </c>
      <c r="J63" s="2" t="s">
        <v>113</v>
      </c>
      <c r="K63" s="2">
        <v>22</v>
      </c>
      <c r="L63" s="4">
        <v>16.72060185185185</v>
      </c>
      <c r="M63" s="2">
        <v>1820</v>
      </c>
    </row>
    <row r="64" spans="2:13" x14ac:dyDescent="0.25">
      <c r="B64" s="2">
        <v>18</v>
      </c>
      <c r="C64" s="2">
        <v>611195</v>
      </c>
      <c r="D64" s="2">
        <v>488955</v>
      </c>
      <c r="E64" s="2">
        <v>183360</v>
      </c>
      <c r="F64" s="2">
        <v>366715</v>
      </c>
      <c r="G64" s="2">
        <v>1650225</v>
      </c>
      <c r="H64" s="2">
        <v>3</v>
      </c>
      <c r="I64" s="2" t="s">
        <v>115</v>
      </c>
      <c r="J64" s="2" t="s">
        <v>114</v>
      </c>
      <c r="K64" s="2">
        <v>27</v>
      </c>
      <c r="L64" s="4">
        <v>26.755324074074071</v>
      </c>
      <c r="M64" s="2">
        <v>2240</v>
      </c>
    </row>
    <row r="65" spans="2:13" x14ac:dyDescent="0.25">
      <c r="B65" s="2">
        <v>19</v>
      </c>
      <c r="C65" s="2">
        <v>1020695</v>
      </c>
      <c r="D65" s="2">
        <v>816555</v>
      </c>
      <c r="E65" s="2">
        <v>306210</v>
      </c>
      <c r="F65" s="2">
        <v>612420</v>
      </c>
      <c r="G65" s="2">
        <v>2755880</v>
      </c>
      <c r="H65" s="2">
        <v>3</v>
      </c>
      <c r="I65" s="2" t="s">
        <v>116</v>
      </c>
      <c r="J65" s="2" t="s">
        <v>115</v>
      </c>
      <c r="K65" s="2">
        <v>32</v>
      </c>
      <c r="L65" s="4">
        <v>42.810763888888886</v>
      </c>
      <c r="M65" s="2">
        <v>2800</v>
      </c>
    </row>
    <row r="66" spans="2:13" x14ac:dyDescent="0.25">
      <c r="B66" s="2">
        <v>20</v>
      </c>
      <c r="C66" s="2">
        <v>1704565</v>
      </c>
      <c r="D66" s="2">
        <v>1363650</v>
      </c>
      <c r="E66" s="2">
        <v>511370</v>
      </c>
      <c r="F66" s="2">
        <v>1022740</v>
      </c>
      <c r="G66" s="2">
        <v>4602325</v>
      </c>
      <c r="H66" s="2">
        <v>3</v>
      </c>
      <c r="I66" s="2" t="s">
        <v>117</v>
      </c>
      <c r="J66" s="2" t="s">
        <v>116</v>
      </c>
      <c r="K66" s="2">
        <v>38</v>
      </c>
      <c r="L66" s="4">
        <v>68.499652777777769</v>
      </c>
      <c r="M66" s="2">
        <v>3430</v>
      </c>
    </row>
    <row r="68" spans="2:13" x14ac:dyDescent="0.25">
      <c r="B68" t="s">
        <v>2</v>
      </c>
    </row>
    <row r="69" spans="2:13" x14ac:dyDescent="0.25">
      <c r="B69" s="2">
        <v>1</v>
      </c>
      <c r="C69" s="2">
        <v>40</v>
      </c>
      <c r="D69" s="2">
        <v>100</v>
      </c>
      <c r="E69" s="2">
        <v>50</v>
      </c>
      <c r="F69" s="2">
        <v>60</v>
      </c>
      <c r="G69" s="2">
        <v>250</v>
      </c>
      <c r="H69" s="2">
        <v>2</v>
      </c>
      <c r="I69" s="2" t="s">
        <v>72</v>
      </c>
      <c r="J69" s="2" t="s">
        <v>72</v>
      </c>
      <c r="K69" s="2">
        <v>1</v>
      </c>
      <c r="L69" s="3">
        <v>3.0092592592592588E-3</v>
      </c>
      <c r="M69" s="2">
        <v>7</v>
      </c>
    </row>
    <row r="70" spans="2:13" x14ac:dyDescent="0.25">
      <c r="B70" s="2">
        <v>2</v>
      </c>
      <c r="C70" s="2">
        <v>65</v>
      </c>
      <c r="D70" s="2">
        <v>165</v>
      </c>
      <c r="E70" s="2">
        <v>85</v>
      </c>
      <c r="F70" s="2">
        <v>100</v>
      </c>
      <c r="G70" s="2">
        <v>415</v>
      </c>
      <c r="H70" s="2">
        <v>1</v>
      </c>
      <c r="I70" s="2" t="s">
        <v>72</v>
      </c>
      <c r="J70" s="2" t="s">
        <v>72</v>
      </c>
      <c r="K70" s="2">
        <v>1</v>
      </c>
      <c r="L70" s="3">
        <v>7.1759259259259259E-3</v>
      </c>
      <c r="M70" s="2">
        <v>13</v>
      </c>
    </row>
    <row r="71" spans="2:13" x14ac:dyDescent="0.25">
      <c r="B71" s="2">
        <v>3</v>
      </c>
      <c r="C71" s="2">
        <v>110</v>
      </c>
      <c r="D71" s="2">
        <v>280</v>
      </c>
      <c r="E71" s="2">
        <v>140</v>
      </c>
      <c r="F71" s="2">
        <v>165</v>
      </c>
      <c r="G71" s="2">
        <v>695</v>
      </c>
      <c r="H71" s="2">
        <v>1</v>
      </c>
      <c r="I71" s="2" t="s">
        <v>72</v>
      </c>
      <c r="J71" s="2" t="s">
        <v>72</v>
      </c>
      <c r="K71" s="2">
        <v>2</v>
      </c>
      <c r="L71" s="3">
        <v>1.3773148148148147E-2</v>
      </c>
      <c r="M71" s="2">
        <v>21</v>
      </c>
    </row>
    <row r="72" spans="2:13" x14ac:dyDescent="0.25">
      <c r="B72" s="2">
        <v>4</v>
      </c>
      <c r="C72" s="2">
        <v>185</v>
      </c>
      <c r="D72" s="2">
        <v>465</v>
      </c>
      <c r="E72" s="2">
        <v>235</v>
      </c>
      <c r="F72" s="2">
        <v>280</v>
      </c>
      <c r="G72" s="2">
        <v>1165</v>
      </c>
      <c r="H72" s="2">
        <v>1</v>
      </c>
      <c r="I72" s="2" t="s">
        <v>72</v>
      </c>
      <c r="J72" s="2" t="s">
        <v>72</v>
      </c>
      <c r="K72" s="2">
        <v>2</v>
      </c>
      <c r="L72" s="3">
        <v>2.4305555555555556E-2</v>
      </c>
      <c r="M72" s="2">
        <v>31</v>
      </c>
    </row>
    <row r="73" spans="2:13" x14ac:dyDescent="0.25">
      <c r="B73" s="2">
        <v>5</v>
      </c>
      <c r="C73" s="2">
        <v>310</v>
      </c>
      <c r="D73" s="2">
        <v>780</v>
      </c>
      <c r="E73" s="2">
        <v>390</v>
      </c>
      <c r="F73" s="2">
        <v>465</v>
      </c>
      <c r="G73" s="2">
        <v>1945</v>
      </c>
      <c r="H73" s="2">
        <v>1</v>
      </c>
      <c r="I73" s="2" t="s">
        <v>72</v>
      </c>
      <c r="J73" s="2" t="s">
        <v>72</v>
      </c>
      <c r="K73" s="2">
        <v>2</v>
      </c>
      <c r="L73" s="3">
        <v>4.1203703703703708E-2</v>
      </c>
      <c r="M73" s="2">
        <v>46</v>
      </c>
    </row>
    <row r="74" spans="2:13" x14ac:dyDescent="0.25">
      <c r="B74" s="2">
        <v>6</v>
      </c>
      <c r="C74" s="2">
        <v>520</v>
      </c>
      <c r="D74" s="2">
        <v>1300</v>
      </c>
      <c r="E74" s="2">
        <v>650</v>
      </c>
      <c r="F74" s="2">
        <v>780</v>
      </c>
      <c r="G74" s="2">
        <v>3250</v>
      </c>
      <c r="H74" s="2">
        <v>2</v>
      </c>
      <c r="I74" s="2" t="s">
        <v>76</v>
      </c>
      <c r="J74" s="2" t="s">
        <v>72</v>
      </c>
      <c r="K74" s="2">
        <v>3</v>
      </c>
      <c r="L74" s="3">
        <v>6.8171296296296299E-2</v>
      </c>
      <c r="M74" s="2">
        <v>70</v>
      </c>
    </row>
    <row r="75" spans="2:13" x14ac:dyDescent="0.25">
      <c r="B75" s="2">
        <v>7</v>
      </c>
      <c r="C75" s="2">
        <v>870</v>
      </c>
      <c r="D75" s="2">
        <v>2170</v>
      </c>
      <c r="E75" s="2">
        <v>1085</v>
      </c>
      <c r="F75" s="2">
        <v>1300</v>
      </c>
      <c r="G75" s="2">
        <v>5425</v>
      </c>
      <c r="H75" s="2">
        <v>2</v>
      </c>
      <c r="I75" s="2" t="s">
        <v>74</v>
      </c>
      <c r="J75" s="2" t="s">
        <v>76</v>
      </c>
      <c r="K75" s="2">
        <v>4</v>
      </c>
      <c r="L75" s="3">
        <v>0.1113425925925926</v>
      </c>
      <c r="M75" s="2">
        <v>98</v>
      </c>
    </row>
    <row r="76" spans="2:13" x14ac:dyDescent="0.25">
      <c r="B76" s="2">
        <v>8</v>
      </c>
      <c r="C76" s="2">
        <v>1450</v>
      </c>
      <c r="D76" s="2">
        <v>3625</v>
      </c>
      <c r="E76" s="2">
        <v>1810</v>
      </c>
      <c r="F76" s="2">
        <v>2175</v>
      </c>
      <c r="G76" s="2">
        <v>9060</v>
      </c>
      <c r="H76" s="2">
        <v>2</v>
      </c>
      <c r="I76" s="2" t="s">
        <v>75</v>
      </c>
      <c r="J76" s="2" t="s">
        <v>74</v>
      </c>
      <c r="K76" s="2">
        <v>4</v>
      </c>
      <c r="L76" s="3">
        <v>0.18043981481481483</v>
      </c>
      <c r="M76" s="2">
        <v>140</v>
      </c>
    </row>
    <row r="77" spans="2:13" x14ac:dyDescent="0.25">
      <c r="B77" s="2">
        <v>9</v>
      </c>
      <c r="C77" s="2">
        <v>2420</v>
      </c>
      <c r="D77" s="2">
        <v>6050</v>
      </c>
      <c r="E77" s="2">
        <v>3025</v>
      </c>
      <c r="F77" s="2">
        <v>3630</v>
      </c>
      <c r="G77" s="2">
        <v>15125</v>
      </c>
      <c r="H77" s="2">
        <v>2</v>
      </c>
      <c r="I77" s="2" t="s">
        <v>77</v>
      </c>
      <c r="J77" s="2" t="s">
        <v>75</v>
      </c>
      <c r="K77" s="2">
        <v>5</v>
      </c>
      <c r="L77" s="3">
        <v>0.29108796296296297</v>
      </c>
      <c r="M77" s="2">
        <v>203</v>
      </c>
    </row>
    <row r="78" spans="2:13" x14ac:dyDescent="0.25">
      <c r="B78" s="2">
        <v>10</v>
      </c>
      <c r="C78" s="2">
        <v>4040</v>
      </c>
      <c r="D78" s="2">
        <v>10105</v>
      </c>
      <c r="E78" s="2">
        <v>5050</v>
      </c>
      <c r="F78" s="2">
        <v>6060</v>
      </c>
      <c r="G78" s="2">
        <v>25255</v>
      </c>
      <c r="H78" s="2">
        <v>2</v>
      </c>
      <c r="I78" s="2" t="s">
        <v>110</v>
      </c>
      <c r="J78" s="2" t="s">
        <v>77</v>
      </c>
      <c r="K78" s="2">
        <v>6</v>
      </c>
      <c r="L78" s="3">
        <v>0.4680555555555555</v>
      </c>
      <c r="M78" s="2">
        <v>280</v>
      </c>
    </row>
    <row r="79" spans="2:13" x14ac:dyDescent="0.25">
      <c r="B79" s="2">
        <v>11</v>
      </c>
      <c r="C79" s="2">
        <v>6750</v>
      </c>
      <c r="D79" s="2">
        <v>16870</v>
      </c>
      <c r="E79" s="2">
        <v>8435</v>
      </c>
      <c r="F79" s="2">
        <v>10125</v>
      </c>
      <c r="G79" s="2">
        <v>42180</v>
      </c>
      <c r="H79" s="2">
        <v>2</v>
      </c>
      <c r="I79" s="2" t="s">
        <v>81</v>
      </c>
      <c r="J79" s="2" t="s">
        <v>110</v>
      </c>
      <c r="K79" s="2">
        <v>7</v>
      </c>
      <c r="L79" s="3">
        <v>0.75115740740740744</v>
      </c>
      <c r="M79" s="2">
        <v>392</v>
      </c>
    </row>
    <row r="80" spans="2:13" x14ac:dyDescent="0.25">
      <c r="B80" s="2">
        <v>12</v>
      </c>
      <c r="C80" s="2">
        <v>11270</v>
      </c>
      <c r="D80" s="2">
        <v>28175</v>
      </c>
      <c r="E80" s="2">
        <v>14090</v>
      </c>
      <c r="F80" s="2">
        <v>16905</v>
      </c>
      <c r="G80" s="2">
        <v>70440</v>
      </c>
      <c r="H80" s="2">
        <v>2</v>
      </c>
      <c r="I80" s="2" t="s">
        <v>86</v>
      </c>
      <c r="J80" s="2" t="s">
        <v>81</v>
      </c>
      <c r="K80" s="2">
        <v>9</v>
      </c>
      <c r="L80" s="4">
        <v>1.2042824074074074</v>
      </c>
      <c r="M80" s="2">
        <v>525</v>
      </c>
    </row>
    <row r="81" spans="2:13" x14ac:dyDescent="0.25">
      <c r="B81" s="2">
        <v>13</v>
      </c>
      <c r="C81" s="2">
        <v>18820</v>
      </c>
      <c r="D81" s="2">
        <v>47055</v>
      </c>
      <c r="E81" s="2">
        <v>23525</v>
      </c>
      <c r="F81" s="2">
        <v>28230</v>
      </c>
      <c r="G81" s="2">
        <v>117630</v>
      </c>
      <c r="H81" s="2">
        <v>2</v>
      </c>
      <c r="I81" s="2" t="s">
        <v>111</v>
      </c>
      <c r="J81" s="2" t="s">
        <v>86</v>
      </c>
      <c r="K81" s="2">
        <v>11</v>
      </c>
      <c r="L81" s="4">
        <v>1.9291666666666665</v>
      </c>
      <c r="M81" s="2">
        <v>693</v>
      </c>
    </row>
    <row r="82" spans="2:13" x14ac:dyDescent="0.25">
      <c r="B82" s="2">
        <v>14</v>
      </c>
      <c r="C82" s="2">
        <v>31430</v>
      </c>
      <c r="D82" s="2">
        <v>78580</v>
      </c>
      <c r="E82" s="2">
        <v>39290</v>
      </c>
      <c r="F82" s="2">
        <v>47150</v>
      </c>
      <c r="G82" s="2">
        <v>196450</v>
      </c>
      <c r="H82" s="2">
        <v>2</v>
      </c>
      <c r="I82" s="2" t="s">
        <v>84</v>
      </c>
      <c r="J82" s="2" t="s">
        <v>111</v>
      </c>
      <c r="K82" s="2">
        <v>13</v>
      </c>
      <c r="L82" s="4">
        <v>3.088888888888889</v>
      </c>
      <c r="M82" s="2">
        <v>889</v>
      </c>
    </row>
    <row r="83" spans="2:13" x14ac:dyDescent="0.25">
      <c r="B83" s="2">
        <v>15</v>
      </c>
      <c r="C83" s="2">
        <v>52490</v>
      </c>
      <c r="D83" s="2">
        <v>131230</v>
      </c>
      <c r="E83" s="2">
        <v>65615</v>
      </c>
      <c r="F83" s="2">
        <v>78740</v>
      </c>
      <c r="G83" s="2">
        <v>328075</v>
      </c>
      <c r="H83" s="2">
        <v>2</v>
      </c>
      <c r="I83" s="2" t="s">
        <v>112</v>
      </c>
      <c r="J83" s="2" t="s">
        <v>84</v>
      </c>
      <c r="K83" s="2">
        <v>15</v>
      </c>
      <c r="L83" s="4">
        <v>4.9445601851851855</v>
      </c>
      <c r="M83" s="2">
        <v>1120</v>
      </c>
    </row>
    <row r="84" spans="2:13" x14ac:dyDescent="0.25">
      <c r="B84" s="2">
        <v>16</v>
      </c>
      <c r="C84" s="2">
        <v>87660</v>
      </c>
      <c r="D84" s="2">
        <v>219155</v>
      </c>
      <c r="E84" s="2">
        <v>109575</v>
      </c>
      <c r="F84" s="2">
        <v>131490</v>
      </c>
      <c r="G84" s="2">
        <v>547880</v>
      </c>
      <c r="H84" s="2">
        <v>3</v>
      </c>
      <c r="I84" s="2" t="s">
        <v>113</v>
      </c>
      <c r="J84" s="2" t="s">
        <v>112</v>
      </c>
      <c r="K84" s="2">
        <v>18</v>
      </c>
      <c r="L84" s="4">
        <v>7.9135416666666671</v>
      </c>
      <c r="M84" s="2">
        <v>1400</v>
      </c>
    </row>
    <row r="85" spans="2:13" x14ac:dyDescent="0.25">
      <c r="B85" s="2">
        <v>17</v>
      </c>
      <c r="C85" s="2">
        <v>146395</v>
      </c>
      <c r="D85" s="2">
        <v>365985</v>
      </c>
      <c r="E85" s="2">
        <v>182995</v>
      </c>
      <c r="F85" s="2">
        <v>219590</v>
      </c>
      <c r="G85" s="2">
        <v>914965</v>
      </c>
      <c r="H85" s="2">
        <v>3</v>
      </c>
      <c r="I85" s="2" t="s">
        <v>114</v>
      </c>
      <c r="J85" s="2" t="s">
        <v>113</v>
      </c>
      <c r="K85" s="2">
        <v>22</v>
      </c>
      <c r="L85" s="4">
        <v>12.66400462962963</v>
      </c>
      <c r="M85" s="2">
        <v>1820</v>
      </c>
    </row>
    <row r="86" spans="2:13" x14ac:dyDescent="0.25">
      <c r="B86" s="2">
        <v>18</v>
      </c>
      <c r="C86" s="2">
        <v>244480</v>
      </c>
      <c r="D86" s="2">
        <v>611195</v>
      </c>
      <c r="E86" s="2">
        <v>305600</v>
      </c>
      <c r="F86" s="2">
        <v>366715</v>
      </c>
      <c r="G86" s="2">
        <v>1527990</v>
      </c>
      <c r="H86" s="2">
        <v>3</v>
      </c>
      <c r="I86" s="2" t="s">
        <v>115</v>
      </c>
      <c r="J86" s="2" t="s">
        <v>114</v>
      </c>
      <c r="K86" s="2">
        <v>27</v>
      </c>
      <c r="L86" s="4">
        <v>20.264814814814816</v>
      </c>
      <c r="M86" s="2">
        <v>2240</v>
      </c>
    </row>
    <row r="87" spans="2:13" x14ac:dyDescent="0.25">
      <c r="B87" s="2">
        <v>19</v>
      </c>
      <c r="C87" s="2">
        <v>408280</v>
      </c>
      <c r="D87" s="2">
        <v>1020695</v>
      </c>
      <c r="E87" s="2">
        <v>510350</v>
      </c>
      <c r="F87" s="2">
        <v>612420</v>
      </c>
      <c r="G87" s="2">
        <v>2551745</v>
      </c>
      <c r="H87" s="2">
        <v>3</v>
      </c>
      <c r="I87" s="2" t="s">
        <v>116</v>
      </c>
      <c r="J87" s="2" t="s">
        <v>115</v>
      </c>
      <c r="K87" s="2">
        <v>32</v>
      </c>
      <c r="L87" s="4">
        <v>32.425925925925924</v>
      </c>
      <c r="M87" s="2">
        <v>2800</v>
      </c>
    </row>
    <row r="88" spans="2:13" x14ac:dyDescent="0.25">
      <c r="B88" s="2">
        <v>20</v>
      </c>
      <c r="C88" s="2">
        <v>681825</v>
      </c>
      <c r="D88" s="2">
        <v>1704565</v>
      </c>
      <c r="E88" s="2">
        <v>852280</v>
      </c>
      <c r="F88" s="2">
        <v>1022740</v>
      </c>
      <c r="G88" s="2">
        <v>4261410</v>
      </c>
      <c r="H88" s="2">
        <v>3</v>
      </c>
      <c r="I88" s="2" t="s">
        <v>117</v>
      </c>
      <c r="J88" s="2" t="s">
        <v>116</v>
      </c>
      <c r="K88" s="2">
        <v>38</v>
      </c>
      <c r="L88" s="4">
        <v>51.883912037037042</v>
      </c>
      <c r="M88" s="2">
        <v>3430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Template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Nelis Volschenk</dc:creator>
  <cp:lastModifiedBy>Nelis Volschenk</cp:lastModifiedBy>
  <dcterms:created xsi:type="dcterms:W3CDTF">2022-06-17T13:52:12Z</dcterms:created>
  <dcterms:modified xsi:type="dcterms:W3CDTF">2022-06-18T19:10:17Z</dcterms:modified>
</cp:coreProperties>
</file>