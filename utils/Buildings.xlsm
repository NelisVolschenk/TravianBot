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5" windowWidth="27825" windowHeight="12660" activeTab="1"/>
  </bookViews>
  <sheets>
    <sheet name="Index" sheetId="1" r:id="rId1"/>
    <sheet name="Woodcutter" sheetId="10" r:id="rId2"/>
    <sheet name="Clay Pit" sheetId="11" r:id="rId3"/>
    <sheet name="Iron Mine" sheetId="12" r:id="rId4"/>
    <sheet name="Cropland" sheetId="13" r:id="rId5"/>
    <sheet name="Sawmill" sheetId="14" r:id="rId6"/>
    <sheet name="Brickyard" sheetId="15" r:id="rId7"/>
    <sheet name="Iron Foundry" sheetId="16" r:id="rId8"/>
    <sheet name="Grain Mill" sheetId="17" r:id="rId9"/>
    <sheet name="Bakery" sheetId="18" r:id="rId10"/>
    <sheet name="Warehouse" sheetId="19" r:id="rId11"/>
    <sheet name="Granary" sheetId="20" r:id="rId12"/>
    <sheet name="Smithy" sheetId="21" r:id="rId13"/>
    <sheet name="Tournament Square" sheetId="22" r:id="rId14"/>
    <sheet name="Main Building" sheetId="23" r:id="rId15"/>
    <sheet name="Rally Point" sheetId="24" r:id="rId16"/>
    <sheet name="Marketplace" sheetId="25" r:id="rId17"/>
    <sheet name="Embassy" sheetId="26" r:id="rId18"/>
    <sheet name="Barracks" sheetId="27" r:id="rId19"/>
    <sheet name="Stable" sheetId="28" r:id="rId20"/>
    <sheet name="Workshop" sheetId="29" r:id="rId21"/>
    <sheet name="Academy" sheetId="30" r:id="rId22"/>
    <sheet name="Cranny" sheetId="31" r:id="rId23"/>
    <sheet name="Town Hall" sheetId="32" r:id="rId24"/>
    <sheet name="Residence" sheetId="33" r:id="rId25"/>
    <sheet name="Palace" sheetId="34" r:id="rId26"/>
    <sheet name="Treasury" sheetId="35" r:id="rId27"/>
    <sheet name="Trade Office" sheetId="36" r:id="rId28"/>
    <sheet name="Great Barracks" sheetId="37" r:id="rId29"/>
    <sheet name="Great Stable" sheetId="38" r:id="rId30"/>
    <sheet name="City Wall" sheetId="39" r:id="rId31"/>
    <sheet name="Earth Wall" sheetId="40" r:id="rId32"/>
    <sheet name="Palisade" sheetId="41" r:id="rId33"/>
    <sheet name="Stonemasons Lodge" sheetId="42" r:id="rId34"/>
    <sheet name="Brewery" sheetId="43" r:id="rId35"/>
    <sheet name="Trapper" sheetId="44" r:id="rId36"/>
    <sheet name="Heros Mansion" sheetId="45" r:id="rId37"/>
    <sheet name="Great Warehouse" sheetId="46" r:id="rId38"/>
    <sheet name="Great Granary" sheetId="47" r:id="rId39"/>
    <sheet name="Wonder of the World" sheetId="48" r:id="rId40"/>
    <sheet name="Horse Drinking Trough" sheetId="49" r:id="rId41"/>
    <sheet name="Stone Wall" sheetId="50" r:id="rId42"/>
    <sheet name="Command Center" sheetId="51" r:id="rId43"/>
    <sheet name="Makeshift Wall" sheetId="52" r:id="rId44"/>
    <sheet name="Waterworks" sheetId="53" r:id="rId45"/>
    <sheet name="Hospital" sheetId="54" r:id="rId46"/>
  </sheets>
  <calcPr calcId="144525"/>
</workbook>
</file>

<file path=xl/calcChain.xml><?xml version="1.0" encoding="utf-8"?>
<calcChain xmlns="http://schemas.openxmlformats.org/spreadsheetml/2006/main">
  <c r="V27" i="10" l="1"/>
  <c r="V7" i="10"/>
  <c r="V8" i="10"/>
  <c r="V9" i="10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26" i="10"/>
  <c r="V6" i="10"/>
  <c r="U8" i="10"/>
  <c r="U7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6" i="10"/>
  <c r="T15" i="10" l="1"/>
  <c r="T18" i="10"/>
  <c r="T27" i="10"/>
  <c r="T6" i="10"/>
  <c r="P8" i="10"/>
  <c r="T8" i="10" s="1"/>
  <c r="Q8" i="10"/>
  <c r="R8" i="10"/>
  <c r="S8" i="10"/>
  <c r="P9" i="10"/>
  <c r="T9" i="10" s="1"/>
  <c r="Q9" i="10"/>
  <c r="R9" i="10"/>
  <c r="S9" i="10"/>
  <c r="P10" i="10"/>
  <c r="T10" i="10" s="1"/>
  <c r="Q10" i="10"/>
  <c r="R10" i="10"/>
  <c r="S10" i="10"/>
  <c r="P11" i="10"/>
  <c r="T11" i="10" s="1"/>
  <c r="Q11" i="10"/>
  <c r="R11" i="10"/>
  <c r="S11" i="10"/>
  <c r="P12" i="10"/>
  <c r="Q12" i="10"/>
  <c r="R12" i="10"/>
  <c r="S12" i="10"/>
  <c r="T12" i="10" s="1"/>
  <c r="P13" i="10"/>
  <c r="T13" i="10" s="1"/>
  <c r="Q13" i="10"/>
  <c r="R13" i="10"/>
  <c r="S13" i="10"/>
  <c r="P14" i="10"/>
  <c r="T14" i="10" s="1"/>
  <c r="Q14" i="10"/>
  <c r="R14" i="10"/>
  <c r="S14" i="10"/>
  <c r="P15" i="10"/>
  <c r="Q15" i="10"/>
  <c r="R15" i="10"/>
  <c r="S15" i="10"/>
  <c r="P16" i="10"/>
  <c r="Q16" i="10"/>
  <c r="R16" i="10"/>
  <c r="S16" i="10"/>
  <c r="T16" i="10" s="1"/>
  <c r="P17" i="10"/>
  <c r="T17" i="10" s="1"/>
  <c r="Q17" i="10"/>
  <c r="R17" i="10"/>
  <c r="S17" i="10"/>
  <c r="P18" i="10"/>
  <c r="Q18" i="10"/>
  <c r="R18" i="10"/>
  <c r="S18" i="10"/>
  <c r="P19" i="10"/>
  <c r="T19" i="10" s="1"/>
  <c r="Q19" i="10"/>
  <c r="R19" i="10"/>
  <c r="S19" i="10"/>
  <c r="P20" i="10"/>
  <c r="T20" i="10" s="1"/>
  <c r="Q20" i="10"/>
  <c r="R20" i="10"/>
  <c r="S20" i="10"/>
  <c r="P21" i="10"/>
  <c r="T21" i="10" s="1"/>
  <c r="Q21" i="10"/>
  <c r="R21" i="10"/>
  <c r="S21" i="10"/>
  <c r="P22" i="10"/>
  <c r="T22" i="10" s="1"/>
  <c r="Q22" i="10"/>
  <c r="R22" i="10"/>
  <c r="S22" i="10"/>
  <c r="P23" i="10"/>
  <c r="T23" i="10" s="1"/>
  <c r="Q23" i="10"/>
  <c r="R23" i="10"/>
  <c r="S23" i="10"/>
  <c r="P24" i="10"/>
  <c r="Q24" i="10"/>
  <c r="R24" i="10"/>
  <c r="T24" i="10" s="1"/>
  <c r="S24" i="10"/>
  <c r="P25" i="10"/>
  <c r="T25" i="10" s="1"/>
  <c r="Q25" i="10"/>
  <c r="R25" i="10"/>
  <c r="S25" i="10"/>
  <c r="P26" i="10"/>
  <c r="T26" i="10" s="1"/>
  <c r="Q26" i="10"/>
  <c r="R26" i="10"/>
  <c r="S26" i="10"/>
  <c r="P27" i="10"/>
  <c r="Q27" i="10"/>
  <c r="R27" i="10"/>
  <c r="S27" i="10"/>
  <c r="Q7" i="10"/>
  <c r="T7" i="10" s="1"/>
  <c r="R7" i="10"/>
  <c r="S7" i="10"/>
  <c r="P7" i="10"/>
</calcChain>
</file>

<file path=xl/sharedStrings.xml><?xml version="1.0" encoding="utf-8"?>
<sst xmlns="http://schemas.openxmlformats.org/spreadsheetml/2006/main" count="396" uniqueCount="124">
  <si>
    <t>lvl</t>
  </si>
  <si>
    <t>CP</t>
  </si>
  <si>
    <t>Prod. increase</t>
  </si>
  <si>
    <t>Lumber</t>
  </si>
  <si>
    <t>Clay</t>
  </si>
  <si>
    <t>Iron</t>
  </si>
  <si>
    <t>Crop</t>
  </si>
  <si>
    <t>Total cost</t>
  </si>
  <si>
    <t>upkeep</t>
  </si>
  <si>
    <t>Warehouse</t>
  </si>
  <si>
    <t>Granary</t>
  </si>
  <si>
    <t>Time</t>
  </si>
  <si>
    <t>1[2]</t>
  </si>
  <si>
    <t>1[4]</t>
  </si>
  <si>
    <t>1[6]</t>
  </si>
  <si>
    <t>1[7]</t>
  </si>
  <si>
    <t>1[9]</t>
  </si>
  <si>
    <t>1[12]</t>
  </si>
  <si>
    <t>gid</t>
  </si>
  <si>
    <t>Building</t>
  </si>
  <si>
    <t xml:space="preserve"> </t>
  </si>
  <si>
    <t>Woodcutter</t>
  </si>
  <si>
    <t>field</t>
  </si>
  <si>
    <t>Clay Pit</t>
  </si>
  <si>
    <t>Iron Mine</t>
  </si>
  <si>
    <t>Cropland</t>
  </si>
  <si>
    <t>Sawmill</t>
  </si>
  <si>
    <t>resources</t>
  </si>
  <si>
    <t>Brickyard</t>
  </si>
  <si>
    <t>Iron Foundry</t>
  </si>
  <si>
    <t>Grain Mill</t>
  </si>
  <si>
    <t>Bakery</t>
  </si>
  <si>
    <t>infrastructure</t>
  </si>
  <si>
    <t>Smithy</t>
  </si>
  <si>
    <t>military</t>
  </si>
  <si>
    <t>Tournament Square</t>
  </si>
  <si>
    <t>Main Building</t>
  </si>
  <si>
    <t>Rally Point</t>
  </si>
  <si>
    <t>static</t>
  </si>
  <si>
    <t>Marketplace</t>
  </si>
  <si>
    <t>Embassy</t>
  </si>
  <si>
    <t>Barracks</t>
  </si>
  <si>
    <t>Stable</t>
  </si>
  <si>
    <t>Workshop</t>
  </si>
  <si>
    <t>Academy</t>
  </si>
  <si>
    <t>Cranny</t>
  </si>
  <si>
    <t>Town Hall</t>
  </si>
  <si>
    <t>Residence</t>
  </si>
  <si>
    <t>Palace</t>
  </si>
  <si>
    <t>Treasury</t>
  </si>
  <si>
    <t>Trade Office</t>
  </si>
  <si>
    <t>Great Barracks</t>
  </si>
  <si>
    <t>Great Stable</t>
  </si>
  <si>
    <t>City Wall</t>
  </si>
  <si>
    <t>Earth Wall</t>
  </si>
  <si>
    <t>Palisade</t>
  </si>
  <si>
    <t>Stonemasons Lodge</t>
  </si>
  <si>
    <t>Brewery</t>
  </si>
  <si>
    <t>Trapper</t>
  </si>
  <si>
    <t>Heros Mansion</t>
  </si>
  <si>
    <t>Great Warehouse</t>
  </si>
  <si>
    <t>Great Granary</t>
  </si>
  <si>
    <t>Wonder of the World</t>
  </si>
  <si>
    <t>Horse Drinking Trough</t>
  </si>
  <si>
    <t>Stone Wall</t>
  </si>
  <si>
    <t>Command Center</t>
  </si>
  <si>
    <t>Makeshift Wall</t>
  </si>
  <si>
    <t>Waterworks</t>
  </si>
  <si>
    <t>Hospital</t>
  </si>
  <si>
    <t>Production</t>
  </si>
  <si>
    <t>1[0]</t>
  </si>
  <si>
    <t>1[3]</t>
  </si>
  <si>
    <t>1[5]</t>
  </si>
  <si>
    <t>1[10]</t>
  </si>
  <si>
    <t>1[15]</t>
  </si>
  <si>
    <t>1[18]</t>
  </si>
  <si>
    <t>1[20]</t>
  </si>
  <si>
    <t>2[18]</t>
  </si>
  <si>
    <t>3[19]</t>
  </si>
  <si>
    <t>5[18]</t>
  </si>
  <si>
    <t>8[18]</t>
  </si>
  <si>
    <t>13[19]</t>
  </si>
  <si>
    <t>22[14]</t>
  </si>
  <si>
    <t>36[18]</t>
  </si>
  <si>
    <t>22[15]</t>
  </si>
  <si>
    <t>60[16]</t>
  </si>
  <si>
    <t>1[1]</t>
  </si>
  <si>
    <t>1[11]</t>
  </si>
  <si>
    <t>1[14]</t>
  </si>
  <si>
    <t>1[16]</t>
  </si>
  <si>
    <t>1[19]</t>
  </si>
  <si>
    <t>1[17]</t>
  </si>
  <si>
    <t>2[14]</t>
  </si>
  <si>
    <t>3[12]</t>
  </si>
  <si>
    <t>2[15]</t>
  </si>
  <si>
    <t>4[18]</t>
  </si>
  <si>
    <t>3[14]</t>
  </si>
  <si>
    <t>7[9]</t>
  </si>
  <si>
    <t>4[19]</t>
  </si>
  <si>
    <t>11[12]</t>
  </si>
  <si>
    <t>7[15]</t>
  </si>
  <si>
    <t>18[5]</t>
  </si>
  <si>
    <t>11[18]</t>
  </si>
  <si>
    <t>29[16]</t>
  </si>
  <si>
    <t>18[19]</t>
  </si>
  <si>
    <t>48[17]</t>
  </si>
  <si>
    <t>30[19]</t>
  </si>
  <si>
    <t>2[17]</t>
  </si>
  <si>
    <t>3[16]</t>
  </si>
  <si>
    <t>5[9]</t>
  </si>
  <si>
    <t>7[0]</t>
  </si>
  <si>
    <t>12[17]</t>
  </si>
  <si>
    <t>3[17]</t>
  </si>
  <si>
    <t>20[11]</t>
  </si>
  <si>
    <t>5[13]</t>
  </si>
  <si>
    <t>33[3]</t>
  </si>
  <si>
    <t>8[9]</t>
  </si>
  <si>
    <t>54[17]</t>
  </si>
  <si>
    <t>12[0]</t>
  </si>
  <si>
    <t>k</t>
  </si>
  <si>
    <t>cu</t>
  </si>
  <si>
    <t>cp</t>
  </si>
  <si>
    <t>roundmul(v,n) = round(v/n) * n</t>
  </si>
  <si>
    <t>n =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</si>
</sst>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21" fontId="0" fillId="0" borderId="0" xfId="0" applyNumberFormat="1"/>
    <xf numFmtId="9" fontId="0" fillId="0" borderId="0" xfId="0" applyNumberFormat="1"/>
    <xf numFmtId="46" fontId="0" fillId="0" borderId="0" xfId="0" applyNumberFormat="1"/>
    <xf numFmtId="0" fontId="0" fillId="0" borderId="0" xfId="0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M47"/>
  <sheetViews>
    <sheetView topLeftCell="A13" workbookViewId="0">
      <selection activeCell="G38" sqref="G38"/>
    </sheetView>
  </sheetViews>
  <sheetFormatPr defaultRowHeight="15" x14ac:dyDescent="0.25"/>
  <cols>
    <col min="3" max="3" width="20.85546875" bestFit="1" customWidth="1"/>
    <col min="4" max="4" width="13.28515625" bestFit="1" customWidth="1"/>
  </cols>
  <sheetData>
    <row r="2" spans="2:13" x14ac:dyDescent="0.25">
      <c r="B2" s="4" t="s">
        <v>18</v>
      </c>
      <c r="C2" s="4" t="s">
        <v>19</v>
      </c>
      <c r="D2" s="4" t="s">
        <v>20</v>
      </c>
    </row>
    <row r="3" spans="2:13" x14ac:dyDescent="0.25">
      <c r="B3" s="4">
        <v>1</v>
      </c>
      <c r="C3" s="4" t="s">
        <v>21</v>
      </c>
      <c r="D3" s="4" t="s">
        <v>22</v>
      </c>
    </row>
    <row r="4" spans="2:13" x14ac:dyDescent="0.25">
      <c r="B4" s="4">
        <v>2</v>
      </c>
      <c r="C4" s="4" t="s">
        <v>23</v>
      </c>
      <c r="D4" s="4" t="s">
        <v>22</v>
      </c>
    </row>
    <row r="5" spans="2:13" x14ac:dyDescent="0.25">
      <c r="B5" s="4">
        <v>3</v>
      </c>
      <c r="C5" s="4" t="s">
        <v>24</v>
      </c>
      <c r="D5" s="4" t="s">
        <v>22</v>
      </c>
    </row>
    <row r="6" spans="2:13" x14ac:dyDescent="0.25">
      <c r="B6" s="4">
        <v>4</v>
      </c>
      <c r="C6" s="4" t="s">
        <v>25</v>
      </c>
      <c r="D6" s="4" t="s">
        <v>22</v>
      </c>
      <c r="L6" s="1"/>
      <c r="M6" s="2"/>
    </row>
    <row r="7" spans="2:13" x14ac:dyDescent="0.25">
      <c r="B7" s="4">
        <v>5</v>
      </c>
      <c r="C7" s="4" t="s">
        <v>26</v>
      </c>
      <c r="D7" s="4" t="s">
        <v>27</v>
      </c>
      <c r="L7" s="1"/>
      <c r="M7" s="2"/>
    </row>
    <row r="8" spans="2:13" x14ac:dyDescent="0.25">
      <c r="B8" s="4">
        <v>6</v>
      </c>
      <c r="C8" s="4" t="s">
        <v>28</v>
      </c>
      <c r="D8" s="4" t="s">
        <v>27</v>
      </c>
      <c r="L8" s="1"/>
      <c r="M8" s="2"/>
    </row>
    <row r="9" spans="2:13" x14ac:dyDescent="0.25">
      <c r="B9" s="4">
        <v>7</v>
      </c>
      <c r="C9" s="4" t="s">
        <v>29</v>
      </c>
      <c r="D9" s="4" t="s">
        <v>27</v>
      </c>
      <c r="L9" s="1"/>
      <c r="M9" s="2"/>
    </row>
    <row r="10" spans="2:13" x14ac:dyDescent="0.25">
      <c r="B10" s="4">
        <v>8</v>
      </c>
      <c r="C10" s="4" t="s">
        <v>30</v>
      </c>
      <c r="D10" s="4" t="s">
        <v>27</v>
      </c>
      <c r="L10" s="1"/>
      <c r="M10" s="2"/>
    </row>
    <row r="11" spans="2:13" x14ac:dyDescent="0.25">
      <c r="B11" s="4">
        <v>9</v>
      </c>
      <c r="C11" s="4" t="s">
        <v>31</v>
      </c>
      <c r="D11" s="4" t="s">
        <v>27</v>
      </c>
    </row>
    <row r="12" spans="2:13" x14ac:dyDescent="0.25">
      <c r="B12" s="4">
        <v>10</v>
      </c>
      <c r="C12" s="4" t="s">
        <v>9</v>
      </c>
      <c r="D12" s="4" t="s">
        <v>32</v>
      </c>
    </row>
    <row r="13" spans="2:13" x14ac:dyDescent="0.25">
      <c r="B13" s="4">
        <v>11</v>
      </c>
      <c r="C13" s="4" t="s">
        <v>10</v>
      </c>
      <c r="D13" s="4" t="s">
        <v>32</v>
      </c>
    </row>
    <row r="14" spans="2:13" x14ac:dyDescent="0.25">
      <c r="B14" s="4">
        <v>13</v>
      </c>
      <c r="C14" s="4" t="s">
        <v>33</v>
      </c>
      <c r="D14" s="4" t="s">
        <v>34</v>
      </c>
    </row>
    <row r="15" spans="2:13" x14ac:dyDescent="0.25">
      <c r="B15" s="4">
        <v>14</v>
      </c>
      <c r="C15" s="4" t="s">
        <v>35</v>
      </c>
      <c r="D15" s="4" t="s">
        <v>34</v>
      </c>
    </row>
    <row r="16" spans="2:13" x14ac:dyDescent="0.25">
      <c r="B16" s="4">
        <v>15</v>
      </c>
      <c r="C16" s="4" t="s">
        <v>36</v>
      </c>
      <c r="D16" s="4" t="s">
        <v>32</v>
      </c>
    </row>
    <row r="17" spans="2:4" x14ac:dyDescent="0.25">
      <c r="B17" s="4">
        <v>16</v>
      </c>
      <c r="C17" s="4" t="s">
        <v>37</v>
      </c>
      <c r="D17" s="4" t="s">
        <v>38</v>
      </c>
    </row>
    <row r="18" spans="2:4" x14ac:dyDescent="0.25">
      <c r="B18" s="4">
        <v>17</v>
      </c>
      <c r="C18" s="4" t="s">
        <v>39</v>
      </c>
      <c r="D18" s="4" t="s">
        <v>32</v>
      </c>
    </row>
    <row r="19" spans="2:4" x14ac:dyDescent="0.25">
      <c r="B19" s="4">
        <v>18</v>
      </c>
      <c r="C19" s="4" t="s">
        <v>40</v>
      </c>
      <c r="D19" s="4" t="s">
        <v>32</v>
      </c>
    </row>
    <row r="20" spans="2:4" x14ac:dyDescent="0.25">
      <c r="B20" s="4">
        <v>19</v>
      </c>
      <c r="C20" s="4" t="s">
        <v>41</v>
      </c>
      <c r="D20" s="4" t="s">
        <v>34</v>
      </c>
    </row>
    <row r="21" spans="2:4" x14ac:dyDescent="0.25">
      <c r="B21" s="4">
        <v>20</v>
      </c>
      <c r="C21" s="4" t="s">
        <v>42</v>
      </c>
      <c r="D21" s="4" t="s">
        <v>34</v>
      </c>
    </row>
    <row r="22" spans="2:4" x14ac:dyDescent="0.25">
      <c r="B22" s="4">
        <v>21</v>
      </c>
      <c r="C22" s="4" t="s">
        <v>43</v>
      </c>
      <c r="D22" s="4" t="s">
        <v>34</v>
      </c>
    </row>
    <row r="23" spans="2:4" x14ac:dyDescent="0.25">
      <c r="B23" s="4">
        <v>22</v>
      </c>
      <c r="C23" s="4" t="s">
        <v>44</v>
      </c>
      <c r="D23" s="4" t="s">
        <v>34</v>
      </c>
    </row>
    <row r="24" spans="2:4" x14ac:dyDescent="0.25">
      <c r="B24" s="4">
        <v>23</v>
      </c>
      <c r="C24" s="4" t="s">
        <v>45</v>
      </c>
      <c r="D24" s="4" t="s">
        <v>32</v>
      </c>
    </row>
    <row r="25" spans="2:4" x14ac:dyDescent="0.25">
      <c r="B25" s="4">
        <v>24</v>
      </c>
      <c r="C25" s="4" t="s">
        <v>46</v>
      </c>
      <c r="D25" s="4" t="s">
        <v>32</v>
      </c>
    </row>
    <row r="26" spans="2:4" x14ac:dyDescent="0.25">
      <c r="B26" s="4">
        <v>25</v>
      </c>
      <c r="C26" s="4" t="s">
        <v>47</v>
      </c>
      <c r="D26" s="4" t="s">
        <v>32</v>
      </c>
    </row>
    <row r="27" spans="2:4" x14ac:dyDescent="0.25">
      <c r="B27" s="4">
        <v>26</v>
      </c>
      <c r="C27" s="4" t="s">
        <v>48</v>
      </c>
      <c r="D27" s="4" t="s">
        <v>32</v>
      </c>
    </row>
    <row r="28" spans="2:4" x14ac:dyDescent="0.25">
      <c r="B28" s="4">
        <v>27</v>
      </c>
      <c r="C28" s="4" t="s">
        <v>49</v>
      </c>
      <c r="D28" s="4" t="s">
        <v>32</v>
      </c>
    </row>
    <row r="29" spans="2:4" x14ac:dyDescent="0.25">
      <c r="B29" s="4">
        <v>28</v>
      </c>
      <c r="C29" s="4" t="s">
        <v>50</v>
      </c>
      <c r="D29" s="4" t="s">
        <v>32</v>
      </c>
    </row>
    <row r="30" spans="2:4" x14ac:dyDescent="0.25">
      <c r="B30" s="4">
        <v>29</v>
      </c>
      <c r="C30" s="4" t="s">
        <v>51</v>
      </c>
      <c r="D30" s="4" t="s">
        <v>34</v>
      </c>
    </row>
    <row r="31" spans="2:4" x14ac:dyDescent="0.25">
      <c r="B31" s="4">
        <v>30</v>
      </c>
      <c r="C31" s="4" t="s">
        <v>52</v>
      </c>
      <c r="D31" s="4" t="s">
        <v>34</v>
      </c>
    </row>
    <row r="32" spans="2:4" x14ac:dyDescent="0.25">
      <c r="B32" s="4">
        <v>31</v>
      </c>
      <c r="C32" s="4" t="s">
        <v>53</v>
      </c>
      <c r="D32" s="4" t="s">
        <v>34</v>
      </c>
    </row>
    <row r="33" spans="2:4" x14ac:dyDescent="0.25">
      <c r="B33" s="4">
        <v>32</v>
      </c>
      <c r="C33" s="4" t="s">
        <v>54</v>
      </c>
      <c r="D33" s="4" t="s">
        <v>34</v>
      </c>
    </row>
    <row r="34" spans="2:4" x14ac:dyDescent="0.25">
      <c r="B34" s="4">
        <v>33</v>
      </c>
      <c r="C34" s="4" t="s">
        <v>55</v>
      </c>
      <c r="D34" s="4" t="s">
        <v>34</v>
      </c>
    </row>
    <row r="35" spans="2:4" x14ac:dyDescent="0.25">
      <c r="B35" s="4">
        <v>34</v>
      </c>
      <c r="C35" s="4" t="s">
        <v>56</v>
      </c>
      <c r="D35" s="4" t="s">
        <v>32</v>
      </c>
    </row>
    <row r="36" spans="2:4" x14ac:dyDescent="0.25">
      <c r="B36" s="4">
        <v>35</v>
      </c>
      <c r="C36" s="4" t="s">
        <v>57</v>
      </c>
      <c r="D36" s="4" t="s">
        <v>32</v>
      </c>
    </row>
    <row r="37" spans="2:4" x14ac:dyDescent="0.25">
      <c r="B37" s="4">
        <v>36</v>
      </c>
      <c r="C37" s="4" t="s">
        <v>58</v>
      </c>
      <c r="D37" s="4" t="s">
        <v>34</v>
      </c>
    </row>
    <row r="38" spans="2:4" x14ac:dyDescent="0.25">
      <c r="B38" s="4">
        <v>37</v>
      </c>
      <c r="C38" s="4" t="s">
        <v>59</v>
      </c>
      <c r="D38" s="4" t="s">
        <v>34</v>
      </c>
    </row>
    <row r="39" spans="2:4" x14ac:dyDescent="0.25">
      <c r="B39" s="4">
        <v>38</v>
      </c>
      <c r="C39" s="4" t="s">
        <v>60</v>
      </c>
      <c r="D39" s="4" t="s">
        <v>32</v>
      </c>
    </row>
    <row r="40" spans="2:4" x14ac:dyDescent="0.25">
      <c r="B40" s="4">
        <v>39</v>
      </c>
      <c r="C40" s="4" t="s">
        <v>61</v>
      </c>
      <c r="D40" s="4" t="s">
        <v>32</v>
      </c>
    </row>
    <row r="41" spans="2:4" x14ac:dyDescent="0.25">
      <c r="B41" s="4">
        <v>40</v>
      </c>
      <c r="C41" s="4" t="s">
        <v>62</v>
      </c>
      <c r="D41" s="4" t="s">
        <v>32</v>
      </c>
    </row>
    <row r="42" spans="2:4" x14ac:dyDescent="0.25">
      <c r="B42" s="4">
        <v>41</v>
      </c>
      <c r="C42" s="4" t="s">
        <v>63</v>
      </c>
      <c r="D42" s="4" t="s">
        <v>32</v>
      </c>
    </row>
    <row r="43" spans="2:4" x14ac:dyDescent="0.25">
      <c r="B43" s="4">
        <v>42</v>
      </c>
      <c r="C43" s="4" t="s">
        <v>64</v>
      </c>
      <c r="D43" s="4" t="s">
        <v>34</v>
      </c>
    </row>
    <row r="44" spans="2:4" x14ac:dyDescent="0.25">
      <c r="B44" s="4">
        <v>43</v>
      </c>
      <c r="C44" s="4" t="s">
        <v>65</v>
      </c>
      <c r="D44" s="4" t="s">
        <v>32</v>
      </c>
    </row>
    <row r="45" spans="2:4" x14ac:dyDescent="0.25">
      <c r="B45" s="4">
        <v>44</v>
      </c>
      <c r="C45" s="4" t="s">
        <v>66</v>
      </c>
      <c r="D45" s="4" t="s">
        <v>34</v>
      </c>
    </row>
    <row r="46" spans="2:4" x14ac:dyDescent="0.25">
      <c r="B46" s="4">
        <v>45</v>
      </c>
      <c r="C46" s="4" t="s">
        <v>67</v>
      </c>
      <c r="D46" s="4" t="s">
        <v>27</v>
      </c>
    </row>
    <row r="47" spans="2:4" x14ac:dyDescent="0.25">
      <c r="B47" s="4">
        <v>46</v>
      </c>
      <c r="C47" s="4" t="s">
        <v>68</v>
      </c>
      <c r="D47" s="4" t="s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Z27"/>
  <sheetViews>
    <sheetView tabSelected="1" workbookViewId="0">
      <selection activeCell="Y18" sqref="Y18"/>
    </sheetView>
  </sheetViews>
  <sheetFormatPr defaultRowHeight="15" x14ac:dyDescent="0.25"/>
  <cols>
    <col min="12" max="12" width="10.140625" bestFit="1" customWidth="1"/>
    <col min="22" max="23" width="9.140625" style="4"/>
  </cols>
  <sheetData>
    <row r="1" spans="2:26" x14ac:dyDescent="0.25">
      <c r="P1" t="s">
        <v>122</v>
      </c>
    </row>
    <row r="2" spans="2:26" x14ac:dyDescent="0.25">
      <c r="P2" t="s">
        <v>123</v>
      </c>
    </row>
    <row r="5" spans="2:26" x14ac:dyDescent="0.25">
      <c r="B5" t="s">
        <v>0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</v>
      </c>
      <c r="L5" t="s">
        <v>11</v>
      </c>
      <c r="M5" t="s">
        <v>69</v>
      </c>
      <c r="O5" s="4" t="s">
        <v>0</v>
      </c>
      <c r="P5" s="4" t="s">
        <v>3</v>
      </c>
      <c r="Q5" s="4" t="s">
        <v>4</v>
      </c>
      <c r="R5" s="4" t="s">
        <v>5</v>
      </c>
      <c r="S5" s="4" t="s">
        <v>6</v>
      </c>
      <c r="T5" s="4" t="s">
        <v>7</v>
      </c>
      <c r="U5" t="s">
        <v>8</v>
      </c>
      <c r="V5" s="4" t="s">
        <v>121</v>
      </c>
      <c r="X5" t="s">
        <v>119</v>
      </c>
      <c r="Y5" t="s">
        <v>120</v>
      </c>
      <c r="Z5" t="s">
        <v>121</v>
      </c>
    </row>
    <row r="6" spans="2:26" x14ac:dyDescent="0.25">
      <c r="B6">
        <v>1</v>
      </c>
      <c r="C6">
        <v>40</v>
      </c>
      <c r="D6">
        <v>100</v>
      </c>
      <c r="E6">
        <v>50</v>
      </c>
      <c r="F6">
        <v>60</v>
      </c>
      <c r="G6">
        <v>250</v>
      </c>
      <c r="H6">
        <v>2</v>
      </c>
      <c r="I6" t="s">
        <v>70</v>
      </c>
      <c r="J6" t="s">
        <v>70</v>
      </c>
      <c r="K6">
        <v>1</v>
      </c>
      <c r="L6" s="1">
        <v>3.0092592592592588E-3</v>
      </c>
      <c r="M6">
        <v>7</v>
      </c>
      <c r="O6" s="4">
        <v>1</v>
      </c>
      <c r="P6" s="4">
        <v>40</v>
      </c>
      <c r="Q6" s="4">
        <v>100</v>
      </c>
      <c r="R6" s="4">
        <v>50</v>
      </c>
      <c r="S6" s="4">
        <v>60</v>
      </c>
      <c r="T6">
        <f>SUM(P6:S6)</f>
        <v>250</v>
      </c>
      <c r="U6">
        <f>ROUND((5*$Y$6 +O6-1)/10,0)</f>
        <v>1</v>
      </c>
      <c r="V6" s="4">
        <f>ROUND($Z$6*1.2^O6,0)</f>
        <v>1</v>
      </c>
      <c r="X6">
        <v>1.67</v>
      </c>
      <c r="Y6">
        <v>2</v>
      </c>
      <c r="Z6">
        <v>1</v>
      </c>
    </row>
    <row r="7" spans="2:26" x14ac:dyDescent="0.25">
      <c r="B7">
        <v>2</v>
      </c>
      <c r="C7">
        <v>65</v>
      </c>
      <c r="D7">
        <v>165</v>
      </c>
      <c r="E7">
        <v>85</v>
      </c>
      <c r="F7">
        <v>100</v>
      </c>
      <c r="G7">
        <v>415</v>
      </c>
      <c r="H7">
        <v>1</v>
      </c>
      <c r="I7" t="s">
        <v>70</v>
      </c>
      <c r="J7" t="s">
        <v>70</v>
      </c>
      <c r="K7">
        <v>1</v>
      </c>
      <c r="L7" s="1">
        <v>7.1759259259259259E-3</v>
      </c>
      <c r="M7">
        <v>13</v>
      </c>
      <c r="O7" s="4">
        <v>2</v>
      </c>
      <c r="P7">
        <f t="shared" ref="P7:S27" si="0">ROUND(P$6*POWER($X$6,$O7-1)/5,0)*5</f>
        <v>65</v>
      </c>
      <c r="Q7" s="4">
        <f t="shared" si="0"/>
        <v>165</v>
      </c>
      <c r="R7" s="4">
        <f t="shared" si="0"/>
        <v>85</v>
      </c>
      <c r="S7" s="4">
        <f t="shared" si="0"/>
        <v>100</v>
      </c>
      <c r="T7" s="4">
        <f t="shared" ref="T7:T27" si="1">SUM(P7:S7)</f>
        <v>415</v>
      </c>
      <c r="U7" s="4">
        <f t="shared" ref="U7:U27" si="2">ROUND((5*$Y$6 +O7-1)/10,0)</f>
        <v>1</v>
      </c>
      <c r="V7" s="4">
        <f t="shared" ref="V7:V27" si="3">ROUND($Z$6*1.2^O7,0)</f>
        <v>1</v>
      </c>
    </row>
    <row r="8" spans="2:26" x14ac:dyDescent="0.25">
      <c r="B8">
        <v>3</v>
      </c>
      <c r="C8">
        <v>110</v>
      </c>
      <c r="D8">
        <v>280</v>
      </c>
      <c r="E8">
        <v>140</v>
      </c>
      <c r="F8">
        <v>165</v>
      </c>
      <c r="G8">
        <v>695</v>
      </c>
      <c r="H8">
        <v>1</v>
      </c>
      <c r="I8" t="s">
        <v>70</v>
      </c>
      <c r="J8" t="s">
        <v>70</v>
      </c>
      <c r="K8">
        <v>2</v>
      </c>
      <c r="L8" s="1">
        <v>1.3773148148148147E-2</v>
      </c>
      <c r="M8">
        <v>21</v>
      </c>
      <c r="O8" s="4">
        <v>3</v>
      </c>
      <c r="P8" s="4">
        <f t="shared" si="0"/>
        <v>110</v>
      </c>
      <c r="Q8" s="4">
        <f t="shared" si="0"/>
        <v>280</v>
      </c>
      <c r="R8" s="4">
        <f t="shared" si="0"/>
        <v>140</v>
      </c>
      <c r="S8" s="4">
        <f t="shared" si="0"/>
        <v>165</v>
      </c>
      <c r="T8" s="4">
        <f t="shared" si="1"/>
        <v>695</v>
      </c>
      <c r="U8" s="4">
        <f>ROUND((5*$Y$6 +O8-1)/10,0)</f>
        <v>1</v>
      </c>
      <c r="V8" s="4">
        <f t="shared" si="3"/>
        <v>2</v>
      </c>
    </row>
    <row r="9" spans="2:26" x14ac:dyDescent="0.25">
      <c r="B9">
        <v>4</v>
      </c>
      <c r="C9">
        <v>185</v>
      </c>
      <c r="D9">
        <v>465</v>
      </c>
      <c r="E9">
        <v>235</v>
      </c>
      <c r="F9">
        <v>280</v>
      </c>
      <c r="G9">
        <v>1165</v>
      </c>
      <c r="H9">
        <v>1</v>
      </c>
      <c r="I9" t="s">
        <v>70</v>
      </c>
      <c r="J9" t="s">
        <v>70</v>
      </c>
      <c r="K9">
        <v>2</v>
      </c>
      <c r="L9" s="1">
        <v>2.4305555555555556E-2</v>
      </c>
      <c r="M9">
        <v>31</v>
      </c>
      <c r="O9" s="4">
        <v>4</v>
      </c>
      <c r="P9" s="4">
        <f t="shared" si="0"/>
        <v>185</v>
      </c>
      <c r="Q9" s="4">
        <f t="shared" si="0"/>
        <v>465</v>
      </c>
      <c r="R9" s="4">
        <f t="shared" si="0"/>
        <v>235</v>
      </c>
      <c r="S9" s="4">
        <f t="shared" si="0"/>
        <v>280</v>
      </c>
      <c r="T9" s="4">
        <f t="shared" si="1"/>
        <v>1165</v>
      </c>
      <c r="U9" s="4">
        <f t="shared" si="2"/>
        <v>1</v>
      </c>
      <c r="V9" s="4">
        <f t="shared" si="3"/>
        <v>2</v>
      </c>
    </row>
    <row r="10" spans="2:26" x14ac:dyDescent="0.25">
      <c r="B10">
        <v>5</v>
      </c>
      <c r="C10">
        <v>310</v>
      </c>
      <c r="D10">
        <v>780</v>
      </c>
      <c r="E10">
        <v>390</v>
      </c>
      <c r="F10">
        <v>465</v>
      </c>
      <c r="G10">
        <v>1945</v>
      </c>
      <c r="H10">
        <v>1</v>
      </c>
      <c r="I10" t="s">
        <v>70</v>
      </c>
      <c r="J10" t="s">
        <v>70</v>
      </c>
      <c r="K10">
        <v>2</v>
      </c>
      <c r="L10" s="1">
        <v>4.1203703703703708E-2</v>
      </c>
      <c r="M10">
        <v>46</v>
      </c>
      <c r="O10" s="4">
        <v>5</v>
      </c>
      <c r="P10" s="4">
        <f t="shared" si="0"/>
        <v>310</v>
      </c>
      <c r="Q10" s="4">
        <f t="shared" si="0"/>
        <v>780</v>
      </c>
      <c r="R10" s="4">
        <f t="shared" si="0"/>
        <v>390</v>
      </c>
      <c r="S10" s="4">
        <f t="shared" si="0"/>
        <v>465</v>
      </c>
      <c r="T10" s="4">
        <f t="shared" si="1"/>
        <v>1945</v>
      </c>
      <c r="U10" s="4">
        <f t="shared" si="2"/>
        <v>1</v>
      </c>
      <c r="V10" s="4">
        <f t="shared" si="3"/>
        <v>2</v>
      </c>
    </row>
    <row r="11" spans="2:26" x14ac:dyDescent="0.25">
      <c r="B11">
        <v>6</v>
      </c>
      <c r="C11">
        <v>520</v>
      </c>
      <c r="D11">
        <v>1300</v>
      </c>
      <c r="E11">
        <v>650</v>
      </c>
      <c r="F11">
        <v>780</v>
      </c>
      <c r="G11">
        <v>3250</v>
      </c>
      <c r="H11">
        <v>2</v>
      </c>
      <c r="I11" t="s">
        <v>12</v>
      </c>
      <c r="J11" t="s">
        <v>70</v>
      </c>
      <c r="K11">
        <v>3</v>
      </c>
      <c r="L11" s="1">
        <v>6.8171296296296299E-2</v>
      </c>
      <c r="M11">
        <v>70</v>
      </c>
      <c r="O11" s="4">
        <v>6</v>
      </c>
      <c r="P11" s="4">
        <f t="shared" si="0"/>
        <v>520</v>
      </c>
      <c r="Q11" s="4">
        <f t="shared" si="0"/>
        <v>1300</v>
      </c>
      <c r="R11" s="4">
        <f t="shared" si="0"/>
        <v>650</v>
      </c>
      <c r="S11" s="4">
        <f t="shared" si="0"/>
        <v>780</v>
      </c>
      <c r="T11" s="4">
        <f t="shared" si="1"/>
        <v>3250</v>
      </c>
      <c r="U11" s="4">
        <f t="shared" si="2"/>
        <v>2</v>
      </c>
      <c r="V11" s="4">
        <f t="shared" si="3"/>
        <v>3</v>
      </c>
    </row>
    <row r="12" spans="2:26" x14ac:dyDescent="0.25">
      <c r="B12">
        <v>7</v>
      </c>
      <c r="C12">
        <v>870</v>
      </c>
      <c r="D12">
        <v>2170</v>
      </c>
      <c r="E12">
        <v>1085</v>
      </c>
      <c r="F12">
        <v>1300</v>
      </c>
      <c r="G12">
        <v>5425</v>
      </c>
      <c r="H12">
        <v>2</v>
      </c>
      <c r="I12" t="s">
        <v>71</v>
      </c>
      <c r="J12" t="s">
        <v>12</v>
      </c>
      <c r="K12">
        <v>4</v>
      </c>
      <c r="L12" s="1">
        <v>0.1113425925925926</v>
      </c>
      <c r="M12">
        <v>98</v>
      </c>
      <c r="O12" s="4">
        <v>7</v>
      </c>
      <c r="P12" s="4">
        <f t="shared" si="0"/>
        <v>870</v>
      </c>
      <c r="Q12" s="4">
        <f t="shared" si="0"/>
        <v>2170</v>
      </c>
      <c r="R12" s="4">
        <f t="shared" si="0"/>
        <v>1085</v>
      </c>
      <c r="S12" s="4">
        <f t="shared" si="0"/>
        <v>1300</v>
      </c>
      <c r="T12" s="4">
        <f t="shared" si="1"/>
        <v>5425</v>
      </c>
      <c r="U12" s="4">
        <f t="shared" si="2"/>
        <v>2</v>
      </c>
      <c r="V12" s="4">
        <f t="shared" si="3"/>
        <v>4</v>
      </c>
    </row>
    <row r="13" spans="2:26" x14ac:dyDescent="0.25">
      <c r="B13">
        <v>8</v>
      </c>
      <c r="C13">
        <v>1450</v>
      </c>
      <c r="D13">
        <v>3625</v>
      </c>
      <c r="E13">
        <v>1810</v>
      </c>
      <c r="F13">
        <v>2175</v>
      </c>
      <c r="G13">
        <v>9060</v>
      </c>
      <c r="H13">
        <v>2</v>
      </c>
      <c r="I13" t="s">
        <v>72</v>
      </c>
      <c r="J13" t="s">
        <v>71</v>
      </c>
      <c r="K13">
        <v>4</v>
      </c>
      <c r="L13" s="1">
        <v>0.18043981481481483</v>
      </c>
      <c r="M13">
        <v>140</v>
      </c>
      <c r="O13" s="4">
        <v>8</v>
      </c>
      <c r="P13" s="4">
        <f t="shared" si="0"/>
        <v>1450</v>
      </c>
      <c r="Q13" s="4">
        <f t="shared" si="0"/>
        <v>3625</v>
      </c>
      <c r="R13" s="4">
        <f t="shared" si="0"/>
        <v>1810</v>
      </c>
      <c r="S13" s="4">
        <f t="shared" si="0"/>
        <v>2175</v>
      </c>
      <c r="T13" s="4">
        <f t="shared" si="1"/>
        <v>9060</v>
      </c>
      <c r="U13" s="4">
        <f t="shared" si="2"/>
        <v>2</v>
      </c>
      <c r="V13" s="4">
        <f t="shared" si="3"/>
        <v>4</v>
      </c>
    </row>
    <row r="14" spans="2:26" x14ac:dyDescent="0.25">
      <c r="B14">
        <v>9</v>
      </c>
      <c r="C14">
        <v>2420</v>
      </c>
      <c r="D14">
        <v>6050</v>
      </c>
      <c r="E14">
        <v>3025</v>
      </c>
      <c r="F14">
        <v>3630</v>
      </c>
      <c r="G14">
        <v>15125</v>
      </c>
      <c r="H14">
        <v>2</v>
      </c>
      <c r="I14" t="s">
        <v>15</v>
      </c>
      <c r="J14" t="s">
        <v>72</v>
      </c>
      <c r="K14">
        <v>5</v>
      </c>
      <c r="L14" s="1">
        <v>0.29108796296296297</v>
      </c>
      <c r="M14">
        <v>203</v>
      </c>
      <c r="O14" s="4">
        <v>9</v>
      </c>
      <c r="P14" s="4">
        <f t="shared" si="0"/>
        <v>2420</v>
      </c>
      <c r="Q14" s="4">
        <f t="shared" si="0"/>
        <v>6050</v>
      </c>
      <c r="R14" s="4">
        <f t="shared" si="0"/>
        <v>3025</v>
      </c>
      <c r="S14" s="4">
        <f t="shared" si="0"/>
        <v>3630</v>
      </c>
      <c r="T14" s="4">
        <f t="shared" si="1"/>
        <v>15125</v>
      </c>
      <c r="U14" s="4">
        <f t="shared" si="2"/>
        <v>2</v>
      </c>
      <c r="V14" s="4">
        <f t="shared" si="3"/>
        <v>5</v>
      </c>
    </row>
    <row r="15" spans="2:26" x14ac:dyDescent="0.25">
      <c r="B15">
        <v>10</v>
      </c>
      <c r="C15">
        <v>4040</v>
      </c>
      <c r="D15">
        <v>10105</v>
      </c>
      <c r="E15">
        <v>5050</v>
      </c>
      <c r="F15">
        <v>6060</v>
      </c>
      <c r="G15">
        <v>25255</v>
      </c>
      <c r="H15">
        <v>2</v>
      </c>
      <c r="I15" t="s">
        <v>73</v>
      </c>
      <c r="J15" t="s">
        <v>15</v>
      </c>
      <c r="K15">
        <v>6</v>
      </c>
      <c r="L15" s="1">
        <v>0.4680555555555555</v>
      </c>
      <c r="M15">
        <v>280</v>
      </c>
      <c r="O15" s="4">
        <v>10</v>
      </c>
      <c r="P15" s="4">
        <f t="shared" si="0"/>
        <v>4040</v>
      </c>
      <c r="Q15" s="4">
        <f t="shared" si="0"/>
        <v>10105</v>
      </c>
      <c r="R15" s="4">
        <f t="shared" si="0"/>
        <v>5050</v>
      </c>
      <c r="S15" s="4">
        <f t="shared" si="0"/>
        <v>6060</v>
      </c>
      <c r="T15" s="4">
        <f t="shared" si="1"/>
        <v>25255</v>
      </c>
      <c r="U15" s="4">
        <f t="shared" si="2"/>
        <v>2</v>
      </c>
      <c r="V15" s="4">
        <f t="shared" si="3"/>
        <v>6</v>
      </c>
    </row>
    <row r="16" spans="2:26" x14ac:dyDescent="0.25">
      <c r="B16">
        <v>11</v>
      </c>
      <c r="C16">
        <v>6750</v>
      </c>
      <c r="D16">
        <v>16870</v>
      </c>
      <c r="E16">
        <v>8435</v>
      </c>
      <c r="F16">
        <v>10125</v>
      </c>
      <c r="G16">
        <v>42180</v>
      </c>
      <c r="H16">
        <v>2</v>
      </c>
      <c r="I16" t="s">
        <v>17</v>
      </c>
      <c r="J16" t="s">
        <v>73</v>
      </c>
      <c r="K16">
        <v>7</v>
      </c>
      <c r="L16" s="1">
        <v>0.75115740740740744</v>
      </c>
      <c r="M16">
        <v>392</v>
      </c>
      <c r="O16" s="4">
        <v>11</v>
      </c>
      <c r="P16" s="4">
        <f t="shared" si="0"/>
        <v>6750</v>
      </c>
      <c r="Q16" s="4">
        <f t="shared" si="0"/>
        <v>16870</v>
      </c>
      <c r="R16" s="4">
        <f t="shared" si="0"/>
        <v>8435</v>
      </c>
      <c r="S16" s="4">
        <f t="shared" si="0"/>
        <v>10125</v>
      </c>
      <c r="T16" s="4">
        <f t="shared" si="1"/>
        <v>42180</v>
      </c>
      <c r="U16" s="4">
        <f t="shared" si="2"/>
        <v>2</v>
      </c>
      <c r="V16" s="4">
        <f t="shared" si="3"/>
        <v>7</v>
      </c>
    </row>
    <row r="17" spans="2:22" x14ac:dyDescent="0.25">
      <c r="B17">
        <v>12</v>
      </c>
      <c r="C17">
        <v>11270</v>
      </c>
      <c r="D17">
        <v>28175</v>
      </c>
      <c r="E17">
        <v>14090</v>
      </c>
      <c r="F17">
        <v>16905</v>
      </c>
      <c r="G17">
        <v>70440</v>
      </c>
      <c r="H17">
        <v>2</v>
      </c>
      <c r="I17" t="s">
        <v>74</v>
      </c>
      <c r="J17" t="s">
        <v>17</v>
      </c>
      <c r="K17">
        <v>9</v>
      </c>
      <c r="L17" s="3">
        <v>1.2042824074074074</v>
      </c>
      <c r="M17">
        <v>525</v>
      </c>
      <c r="O17" s="4">
        <v>12</v>
      </c>
      <c r="P17" s="4">
        <f t="shared" si="0"/>
        <v>11270</v>
      </c>
      <c r="Q17" s="4">
        <f t="shared" si="0"/>
        <v>28175</v>
      </c>
      <c r="R17" s="4">
        <f t="shared" si="0"/>
        <v>14090</v>
      </c>
      <c r="S17" s="4">
        <f t="shared" si="0"/>
        <v>16905</v>
      </c>
      <c r="T17" s="4">
        <f t="shared" si="1"/>
        <v>70440</v>
      </c>
      <c r="U17" s="4">
        <f t="shared" si="2"/>
        <v>2</v>
      </c>
      <c r="V17" s="4">
        <f t="shared" si="3"/>
        <v>9</v>
      </c>
    </row>
    <row r="18" spans="2:22" x14ac:dyDescent="0.25">
      <c r="B18">
        <v>13</v>
      </c>
      <c r="C18">
        <v>18820</v>
      </c>
      <c r="D18">
        <v>47055</v>
      </c>
      <c r="E18">
        <v>23525</v>
      </c>
      <c r="F18">
        <v>28230</v>
      </c>
      <c r="G18">
        <v>117630</v>
      </c>
      <c r="H18">
        <v>2</v>
      </c>
      <c r="I18" t="s">
        <v>75</v>
      </c>
      <c r="J18" t="s">
        <v>74</v>
      </c>
      <c r="K18">
        <v>11</v>
      </c>
      <c r="L18" s="3">
        <v>1.9291666666666665</v>
      </c>
      <c r="M18">
        <v>693</v>
      </c>
      <c r="O18" s="4">
        <v>13</v>
      </c>
      <c r="P18" s="4">
        <f t="shared" si="0"/>
        <v>18820</v>
      </c>
      <c r="Q18" s="4">
        <f t="shared" si="0"/>
        <v>47055</v>
      </c>
      <c r="R18" s="4">
        <f t="shared" si="0"/>
        <v>23525</v>
      </c>
      <c r="S18" s="4">
        <f t="shared" si="0"/>
        <v>28230</v>
      </c>
      <c r="T18" s="4">
        <f t="shared" si="1"/>
        <v>117630</v>
      </c>
      <c r="U18" s="4">
        <f t="shared" si="2"/>
        <v>2</v>
      </c>
      <c r="V18" s="4">
        <f t="shared" si="3"/>
        <v>11</v>
      </c>
    </row>
    <row r="19" spans="2:22" x14ac:dyDescent="0.25">
      <c r="B19">
        <v>14</v>
      </c>
      <c r="C19">
        <v>31430</v>
      </c>
      <c r="D19">
        <v>78580</v>
      </c>
      <c r="E19">
        <v>39290</v>
      </c>
      <c r="F19">
        <v>47150</v>
      </c>
      <c r="G19">
        <v>196450</v>
      </c>
      <c r="H19">
        <v>2</v>
      </c>
      <c r="I19" t="s">
        <v>76</v>
      </c>
      <c r="J19" t="s">
        <v>75</v>
      </c>
      <c r="K19">
        <v>13</v>
      </c>
      <c r="L19" s="3">
        <v>3.088888888888889</v>
      </c>
      <c r="M19">
        <v>889</v>
      </c>
      <c r="O19" s="4">
        <v>14</v>
      </c>
      <c r="P19" s="4">
        <f t="shared" si="0"/>
        <v>31430</v>
      </c>
      <c r="Q19" s="4">
        <f t="shared" si="0"/>
        <v>78580</v>
      </c>
      <c r="R19" s="4">
        <f t="shared" si="0"/>
        <v>39290</v>
      </c>
      <c r="S19" s="4">
        <f t="shared" si="0"/>
        <v>47150</v>
      </c>
      <c r="T19" s="4">
        <f t="shared" si="1"/>
        <v>196450</v>
      </c>
      <c r="U19" s="4">
        <f t="shared" si="2"/>
        <v>2</v>
      </c>
      <c r="V19" s="4">
        <f t="shared" si="3"/>
        <v>13</v>
      </c>
    </row>
    <row r="20" spans="2:22" x14ac:dyDescent="0.25">
      <c r="B20">
        <v>15</v>
      </c>
      <c r="C20">
        <v>52490</v>
      </c>
      <c r="D20">
        <v>131230</v>
      </c>
      <c r="E20">
        <v>65615</v>
      </c>
      <c r="F20">
        <v>78740</v>
      </c>
      <c r="G20">
        <v>328075</v>
      </c>
      <c r="H20">
        <v>2</v>
      </c>
      <c r="I20" t="s">
        <v>77</v>
      </c>
      <c r="J20" t="s">
        <v>76</v>
      </c>
      <c r="K20">
        <v>15</v>
      </c>
      <c r="L20" s="3">
        <v>4.9445601851851855</v>
      </c>
      <c r="M20">
        <v>1120</v>
      </c>
      <c r="O20" s="4">
        <v>15</v>
      </c>
      <c r="P20" s="4">
        <f t="shared" si="0"/>
        <v>52490</v>
      </c>
      <c r="Q20" s="4">
        <f t="shared" si="0"/>
        <v>131230</v>
      </c>
      <c r="R20" s="4">
        <f t="shared" si="0"/>
        <v>65615</v>
      </c>
      <c r="S20" s="4">
        <f t="shared" si="0"/>
        <v>78740</v>
      </c>
      <c r="T20" s="4">
        <f t="shared" si="1"/>
        <v>328075</v>
      </c>
      <c r="U20" s="4">
        <f t="shared" si="2"/>
        <v>2</v>
      </c>
      <c r="V20" s="4">
        <f t="shared" si="3"/>
        <v>15</v>
      </c>
    </row>
    <row r="21" spans="2:22" x14ac:dyDescent="0.25">
      <c r="B21">
        <v>16</v>
      </c>
      <c r="C21">
        <v>87660</v>
      </c>
      <c r="D21">
        <v>219155</v>
      </c>
      <c r="E21">
        <v>109575</v>
      </c>
      <c r="F21">
        <v>131490</v>
      </c>
      <c r="G21">
        <v>547880</v>
      </c>
      <c r="H21">
        <v>3</v>
      </c>
      <c r="I21" t="s">
        <v>78</v>
      </c>
      <c r="J21" t="s">
        <v>77</v>
      </c>
      <c r="K21">
        <v>18</v>
      </c>
      <c r="L21" s="3">
        <v>7.9135416666666671</v>
      </c>
      <c r="M21">
        <v>1400</v>
      </c>
      <c r="O21" s="4">
        <v>16</v>
      </c>
      <c r="P21" s="4">
        <f t="shared" si="0"/>
        <v>87660</v>
      </c>
      <c r="Q21" s="4">
        <f t="shared" si="0"/>
        <v>219155</v>
      </c>
      <c r="R21" s="4">
        <f t="shared" si="0"/>
        <v>109575</v>
      </c>
      <c r="S21" s="4">
        <f t="shared" si="0"/>
        <v>131490</v>
      </c>
      <c r="T21" s="4">
        <f t="shared" si="1"/>
        <v>547880</v>
      </c>
      <c r="U21" s="4">
        <f t="shared" si="2"/>
        <v>3</v>
      </c>
      <c r="V21" s="4">
        <f t="shared" si="3"/>
        <v>18</v>
      </c>
    </row>
    <row r="22" spans="2:22" x14ac:dyDescent="0.25">
      <c r="B22">
        <v>17</v>
      </c>
      <c r="C22">
        <v>146395</v>
      </c>
      <c r="D22">
        <v>365985</v>
      </c>
      <c r="E22">
        <v>182995</v>
      </c>
      <c r="F22">
        <v>219590</v>
      </c>
      <c r="G22">
        <v>914965</v>
      </c>
      <c r="H22">
        <v>3</v>
      </c>
      <c r="I22" t="s">
        <v>79</v>
      </c>
      <c r="J22" t="s">
        <v>78</v>
      </c>
      <c r="K22">
        <v>22</v>
      </c>
      <c r="L22" s="3">
        <v>12.66400462962963</v>
      </c>
      <c r="M22">
        <v>1820</v>
      </c>
      <c r="O22" s="4">
        <v>17</v>
      </c>
      <c r="P22" s="4">
        <f t="shared" si="0"/>
        <v>146395</v>
      </c>
      <c r="Q22" s="4">
        <f t="shared" si="0"/>
        <v>365985</v>
      </c>
      <c r="R22" s="4">
        <f t="shared" si="0"/>
        <v>182995</v>
      </c>
      <c r="S22" s="4">
        <f t="shared" si="0"/>
        <v>219590</v>
      </c>
      <c r="T22" s="4">
        <f t="shared" si="1"/>
        <v>914965</v>
      </c>
      <c r="U22" s="4">
        <f t="shared" si="2"/>
        <v>3</v>
      </c>
      <c r="V22" s="4">
        <f t="shared" si="3"/>
        <v>22</v>
      </c>
    </row>
    <row r="23" spans="2:22" x14ac:dyDescent="0.25">
      <c r="B23">
        <v>18</v>
      </c>
      <c r="C23">
        <v>244480</v>
      </c>
      <c r="D23">
        <v>611195</v>
      </c>
      <c r="E23">
        <v>305600</v>
      </c>
      <c r="F23">
        <v>366715</v>
      </c>
      <c r="G23">
        <v>1527990</v>
      </c>
      <c r="H23">
        <v>3</v>
      </c>
      <c r="I23" t="s">
        <v>80</v>
      </c>
      <c r="J23" t="s">
        <v>79</v>
      </c>
      <c r="K23">
        <v>27</v>
      </c>
      <c r="L23" s="3">
        <v>20.264814814814816</v>
      </c>
      <c r="M23">
        <v>2240</v>
      </c>
      <c r="O23" s="4">
        <v>18</v>
      </c>
      <c r="P23" s="4">
        <f t="shared" si="0"/>
        <v>244480</v>
      </c>
      <c r="Q23" s="4">
        <f t="shared" si="0"/>
        <v>611195</v>
      </c>
      <c r="R23" s="4">
        <f t="shared" si="0"/>
        <v>305600</v>
      </c>
      <c r="S23" s="4">
        <f t="shared" si="0"/>
        <v>366715</v>
      </c>
      <c r="T23" s="4">
        <f t="shared" si="1"/>
        <v>1527990</v>
      </c>
      <c r="U23" s="4">
        <f t="shared" si="2"/>
        <v>3</v>
      </c>
      <c r="V23" s="4">
        <f t="shared" si="3"/>
        <v>27</v>
      </c>
    </row>
    <row r="24" spans="2:22" x14ac:dyDescent="0.25">
      <c r="B24">
        <v>19</v>
      </c>
      <c r="C24">
        <v>408280</v>
      </c>
      <c r="D24">
        <v>1020695</v>
      </c>
      <c r="E24">
        <v>510350</v>
      </c>
      <c r="F24">
        <v>612420</v>
      </c>
      <c r="G24">
        <v>2551745</v>
      </c>
      <c r="H24">
        <v>3</v>
      </c>
      <c r="I24" t="s">
        <v>81</v>
      </c>
      <c r="J24" t="s">
        <v>80</v>
      </c>
      <c r="K24">
        <v>32</v>
      </c>
      <c r="L24" s="3">
        <v>32.425925925925924</v>
      </c>
      <c r="M24">
        <v>2800</v>
      </c>
      <c r="O24" s="4">
        <v>19</v>
      </c>
      <c r="P24" s="4">
        <f t="shared" si="0"/>
        <v>408280</v>
      </c>
      <c r="Q24" s="4">
        <f t="shared" si="0"/>
        <v>1020695</v>
      </c>
      <c r="R24" s="4">
        <f t="shared" si="0"/>
        <v>510350</v>
      </c>
      <c r="S24" s="4">
        <f t="shared" si="0"/>
        <v>612420</v>
      </c>
      <c r="T24" s="4">
        <f t="shared" si="1"/>
        <v>2551745</v>
      </c>
      <c r="U24" s="4">
        <f t="shared" si="2"/>
        <v>3</v>
      </c>
      <c r="V24" s="4">
        <f t="shared" si="3"/>
        <v>32</v>
      </c>
    </row>
    <row r="25" spans="2:22" x14ac:dyDescent="0.25">
      <c r="B25">
        <v>20</v>
      </c>
      <c r="C25">
        <v>681825</v>
      </c>
      <c r="D25">
        <v>1704565</v>
      </c>
      <c r="E25">
        <v>852280</v>
      </c>
      <c r="F25">
        <v>1022740</v>
      </c>
      <c r="G25">
        <v>4261410</v>
      </c>
      <c r="H25">
        <v>3</v>
      </c>
      <c r="I25" t="s">
        <v>82</v>
      </c>
      <c r="J25" t="s">
        <v>81</v>
      </c>
      <c r="K25">
        <v>38</v>
      </c>
      <c r="L25" s="3">
        <v>51.883912037037042</v>
      </c>
      <c r="M25">
        <v>3430</v>
      </c>
      <c r="O25" s="4">
        <v>20</v>
      </c>
      <c r="P25" s="4">
        <f t="shared" si="0"/>
        <v>681825</v>
      </c>
      <c r="Q25" s="4">
        <f t="shared" si="0"/>
        <v>1704565</v>
      </c>
      <c r="R25" s="4">
        <f t="shared" si="0"/>
        <v>852280</v>
      </c>
      <c r="S25" s="4">
        <f t="shared" si="0"/>
        <v>1022740</v>
      </c>
      <c r="T25" s="4">
        <f t="shared" si="1"/>
        <v>4261410</v>
      </c>
      <c r="U25" s="4">
        <f t="shared" si="2"/>
        <v>3</v>
      </c>
      <c r="V25" s="4">
        <f t="shared" si="3"/>
        <v>38</v>
      </c>
    </row>
    <row r="26" spans="2:22" x14ac:dyDescent="0.25">
      <c r="B26">
        <v>21</v>
      </c>
      <c r="C26">
        <v>1138650</v>
      </c>
      <c r="D26">
        <v>2846620</v>
      </c>
      <c r="E26">
        <v>1423310</v>
      </c>
      <c r="F26">
        <v>1707970</v>
      </c>
      <c r="G26">
        <v>7116550</v>
      </c>
      <c r="H26">
        <v>3</v>
      </c>
      <c r="I26" t="s">
        <v>83</v>
      </c>
      <c r="J26" t="s">
        <v>84</v>
      </c>
      <c r="K26">
        <v>46</v>
      </c>
      <c r="L26" s="3">
        <v>83.016550925925927</v>
      </c>
      <c r="M26">
        <v>4270</v>
      </c>
      <c r="O26" s="4">
        <v>21</v>
      </c>
      <c r="P26" s="4">
        <f t="shared" si="0"/>
        <v>1138650</v>
      </c>
      <c r="Q26" s="4">
        <f t="shared" si="0"/>
        <v>2846620</v>
      </c>
      <c r="R26" s="4">
        <f t="shared" si="0"/>
        <v>1423310</v>
      </c>
      <c r="S26" s="4">
        <f t="shared" si="0"/>
        <v>1707970</v>
      </c>
      <c r="T26" s="4">
        <f t="shared" si="1"/>
        <v>7116550</v>
      </c>
      <c r="U26" s="4">
        <f t="shared" si="2"/>
        <v>3</v>
      </c>
      <c r="V26" s="4">
        <f t="shared" si="3"/>
        <v>46</v>
      </c>
    </row>
    <row r="27" spans="2:22" x14ac:dyDescent="0.25">
      <c r="B27">
        <v>22</v>
      </c>
      <c r="C27">
        <v>1901540</v>
      </c>
      <c r="D27">
        <v>4753855</v>
      </c>
      <c r="E27">
        <v>2376925</v>
      </c>
      <c r="F27">
        <v>2852315</v>
      </c>
      <c r="G27">
        <v>11884635</v>
      </c>
      <c r="H27">
        <v>3</v>
      </c>
      <c r="I27" t="s">
        <v>85</v>
      </c>
      <c r="J27" t="s">
        <v>83</v>
      </c>
      <c r="K27">
        <v>55</v>
      </c>
      <c r="L27" s="3">
        <v>132.8287037037037</v>
      </c>
      <c r="M27">
        <v>5250</v>
      </c>
      <c r="O27" s="4">
        <v>22</v>
      </c>
      <c r="P27" s="4">
        <f t="shared" si="0"/>
        <v>1901540</v>
      </c>
      <c r="Q27" s="4">
        <f t="shared" si="0"/>
        <v>4753855</v>
      </c>
      <c r="R27" s="4">
        <f t="shared" si="0"/>
        <v>2376925</v>
      </c>
      <c r="S27" s="4">
        <f t="shared" si="0"/>
        <v>2852315</v>
      </c>
      <c r="T27" s="4">
        <f t="shared" si="1"/>
        <v>11884635</v>
      </c>
      <c r="U27" s="4">
        <f t="shared" si="2"/>
        <v>3</v>
      </c>
      <c r="V27" s="4">
        <f>ROUND($Z$6*1.2^O27,0)</f>
        <v>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5:M27"/>
  <sheetViews>
    <sheetView workbookViewId="0">
      <selection activeCell="B5" sqref="B5:M27"/>
    </sheetView>
  </sheetViews>
  <sheetFormatPr defaultRowHeight="15" x14ac:dyDescent="0.25"/>
  <sheetData>
    <row r="5" spans="2:13" x14ac:dyDescent="0.25">
      <c r="B5" t="s">
        <v>0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</v>
      </c>
      <c r="L5" t="s">
        <v>11</v>
      </c>
      <c r="M5" t="s">
        <v>69</v>
      </c>
    </row>
    <row r="6" spans="2:13" x14ac:dyDescent="0.25">
      <c r="B6">
        <v>1</v>
      </c>
      <c r="C6">
        <v>80</v>
      </c>
      <c r="D6">
        <v>40</v>
      </c>
      <c r="E6">
        <v>80</v>
      </c>
      <c r="F6">
        <v>50</v>
      </c>
      <c r="G6">
        <v>250</v>
      </c>
      <c r="H6">
        <v>2</v>
      </c>
      <c r="I6" t="s">
        <v>70</v>
      </c>
      <c r="J6" t="s">
        <v>70</v>
      </c>
      <c r="K6">
        <v>1</v>
      </c>
      <c r="L6" s="1">
        <v>2.5462962962962961E-3</v>
      </c>
      <c r="M6">
        <v>7</v>
      </c>
    </row>
    <row r="7" spans="2:13" x14ac:dyDescent="0.25">
      <c r="B7">
        <v>2</v>
      </c>
      <c r="C7">
        <v>135</v>
      </c>
      <c r="D7">
        <v>65</v>
      </c>
      <c r="E7">
        <v>135</v>
      </c>
      <c r="F7">
        <v>85</v>
      </c>
      <c r="G7">
        <v>420</v>
      </c>
      <c r="H7">
        <v>1</v>
      </c>
      <c r="I7" t="s">
        <v>70</v>
      </c>
      <c r="J7" t="s">
        <v>70</v>
      </c>
      <c r="K7">
        <v>1</v>
      </c>
      <c r="L7" s="1">
        <v>6.3657407407407404E-3</v>
      </c>
      <c r="M7">
        <v>13</v>
      </c>
    </row>
    <row r="8" spans="2:13" x14ac:dyDescent="0.25">
      <c r="B8">
        <v>3</v>
      </c>
      <c r="C8">
        <v>225</v>
      </c>
      <c r="D8">
        <v>110</v>
      </c>
      <c r="E8">
        <v>225</v>
      </c>
      <c r="F8">
        <v>140</v>
      </c>
      <c r="G8">
        <v>700</v>
      </c>
      <c r="H8">
        <v>1</v>
      </c>
      <c r="I8" t="s">
        <v>70</v>
      </c>
      <c r="J8" t="s">
        <v>70</v>
      </c>
      <c r="K8">
        <v>2</v>
      </c>
      <c r="L8" s="1">
        <v>1.2499999999999999E-2</v>
      </c>
      <c r="M8">
        <v>21</v>
      </c>
    </row>
    <row r="9" spans="2:13" x14ac:dyDescent="0.25">
      <c r="B9">
        <v>4</v>
      </c>
      <c r="C9">
        <v>375</v>
      </c>
      <c r="D9">
        <v>185</v>
      </c>
      <c r="E9">
        <v>375</v>
      </c>
      <c r="F9">
        <v>235</v>
      </c>
      <c r="G9">
        <v>1170</v>
      </c>
      <c r="H9">
        <v>1</v>
      </c>
      <c r="I9" t="s">
        <v>70</v>
      </c>
      <c r="J9" t="s">
        <v>70</v>
      </c>
      <c r="K9">
        <v>2</v>
      </c>
      <c r="L9" s="1">
        <v>2.2337962962962962E-2</v>
      </c>
      <c r="M9">
        <v>31</v>
      </c>
    </row>
    <row r="10" spans="2:13" x14ac:dyDescent="0.25">
      <c r="B10">
        <v>5</v>
      </c>
      <c r="C10">
        <v>620</v>
      </c>
      <c r="D10">
        <v>310</v>
      </c>
      <c r="E10">
        <v>620</v>
      </c>
      <c r="F10">
        <v>390</v>
      </c>
      <c r="G10">
        <v>1940</v>
      </c>
      <c r="H10">
        <v>1</v>
      </c>
      <c r="I10" t="s">
        <v>70</v>
      </c>
      <c r="J10" t="s">
        <v>70</v>
      </c>
      <c r="K10">
        <v>2</v>
      </c>
      <c r="L10" s="1">
        <v>3.8078703703703705E-2</v>
      </c>
      <c r="M10">
        <v>46</v>
      </c>
    </row>
    <row r="11" spans="2:13" x14ac:dyDescent="0.25">
      <c r="B11">
        <v>6</v>
      </c>
      <c r="C11">
        <v>1040</v>
      </c>
      <c r="D11">
        <v>520</v>
      </c>
      <c r="E11">
        <v>1040</v>
      </c>
      <c r="F11">
        <v>650</v>
      </c>
      <c r="G11">
        <v>3250</v>
      </c>
      <c r="H11">
        <v>2</v>
      </c>
      <c r="I11" t="s">
        <v>86</v>
      </c>
      <c r="J11" t="s">
        <v>70</v>
      </c>
      <c r="K11">
        <v>3</v>
      </c>
      <c r="L11" s="1">
        <v>6.3310185185185178E-2</v>
      </c>
      <c r="M11">
        <v>70</v>
      </c>
    </row>
    <row r="12" spans="2:13" x14ac:dyDescent="0.25">
      <c r="B12">
        <v>7</v>
      </c>
      <c r="C12">
        <v>1735</v>
      </c>
      <c r="D12">
        <v>870</v>
      </c>
      <c r="E12">
        <v>1735</v>
      </c>
      <c r="F12">
        <v>1085</v>
      </c>
      <c r="G12">
        <v>5425</v>
      </c>
      <c r="H12">
        <v>2</v>
      </c>
      <c r="I12" t="s">
        <v>71</v>
      </c>
      <c r="J12" t="s">
        <v>86</v>
      </c>
      <c r="K12">
        <v>4</v>
      </c>
      <c r="L12" s="1">
        <v>0.10358796296296297</v>
      </c>
      <c r="M12">
        <v>98</v>
      </c>
    </row>
    <row r="13" spans="2:13" x14ac:dyDescent="0.25">
      <c r="B13">
        <v>8</v>
      </c>
      <c r="C13">
        <v>2900</v>
      </c>
      <c r="D13">
        <v>1450</v>
      </c>
      <c r="E13">
        <v>2900</v>
      </c>
      <c r="F13">
        <v>1810</v>
      </c>
      <c r="G13">
        <v>9060</v>
      </c>
      <c r="H13">
        <v>2</v>
      </c>
      <c r="I13" t="s">
        <v>13</v>
      </c>
      <c r="J13" t="s">
        <v>71</v>
      </c>
      <c r="K13">
        <v>4</v>
      </c>
      <c r="L13" s="1">
        <v>0.16805555555555554</v>
      </c>
      <c r="M13">
        <v>140</v>
      </c>
    </row>
    <row r="14" spans="2:13" x14ac:dyDescent="0.25">
      <c r="B14">
        <v>9</v>
      </c>
      <c r="C14">
        <v>4840</v>
      </c>
      <c r="D14">
        <v>2420</v>
      </c>
      <c r="E14">
        <v>4840</v>
      </c>
      <c r="F14">
        <v>3025</v>
      </c>
      <c r="G14">
        <v>15125</v>
      </c>
      <c r="H14">
        <v>2</v>
      </c>
      <c r="I14" t="s">
        <v>14</v>
      </c>
      <c r="J14" t="s">
        <v>13</v>
      </c>
      <c r="K14">
        <v>5</v>
      </c>
      <c r="L14" s="1">
        <v>0.27118055555555554</v>
      </c>
      <c r="M14">
        <v>203</v>
      </c>
    </row>
    <row r="15" spans="2:13" x14ac:dyDescent="0.25">
      <c r="B15">
        <v>10</v>
      </c>
      <c r="C15">
        <v>8080</v>
      </c>
      <c r="D15">
        <v>4040</v>
      </c>
      <c r="E15">
        <v>8080</v>
      </c>
      <c r="F15">
        <v>5050</v>
      </c>
      <c r="G15">
        <v>25250</v>
      </c>
      <c r="H15">
        <v>2</v>
      </c>
      <c r="I15" t="s">
        <v>16</v>
      </c>
      <c r="J15" t="s">
        <v>15</v>
      </c>
      <c r="K15">
        <v>6</v>
      </c>
      <c r="L15" s="1">
        <v>0.43622685185185189</v>
      </c>
      <c r="M15">
        <v>280</v>
      </c>
    </row>
    <row r="16" spans="2:13" x14ac:dyDescent="0.25">
      <c r="B16">
        <v>11</v>
      </c>
      <c r="C16">
        <v>13500</v>
      </c>
      <c r="D16">
        <v>6750</v>
      </c>
      <c r="E16">
        <v>13500</v>
      </c>
      <c r="F16">
        <v>8435</v>
      </c>
      <c r="G16">
        <v>42185</v>
      </c>
      <c r="H16">
        <v>2</v>
      </c>
      <c r="I16" t="s">
        <v>87</v>
      </c>
      <c r="J16" t="s">
        <v>16</v>
      </c>
      <c r="K16">
        <v>7</v>
      </c>
      <c r="L16" s="1">
        <v>0.70034722222222223</v>
      </c>
      <c r="M16">
        <v>392</v>
      </c>
    </row>
    <row r="17" spans="2:13" x14ac:dyDescent="0.25">
      <c r="B17">
        <v>12</v>
      </c>
      <c r="C17">
        <v>22540</v>
      </c>
      <c r="D17">
        <v>11270</v>
      </c>
      <c r="E17">
        <v>22540</v>
      </c>
      <c r="F17">
        <v>14090</v>
      </c>
      <c r="G17">
        <v>70440</v>
      </c>
      <c r="H17">
        <v>2</v>
      </c>
      <c r="I17" t="s">
        <v>88</v>
      </c>
      <c r="J17" t="s">
        <v>87</v>
      </c>
      <c r="K17">
        <v>9</v>
      </c>
      <c r="L17" s="3">
        <v>1.122800925925926</v>
      </c>
      <c r="M17">
        <v>525</v>
      </c>
    </row>
    <row r="18" spans="2:13" x14ac:dyDescent="0.25">
      <c r="B18">
        <v>13</v>
      </c>
      <c r="C18">
        <v>37645</v>
      </c>
      <c r="D18">
        <v>18820</v>
      </c>
      <c r="E18">
        <v>37645</v>
      </c>
      <c r="F18">
        <v>23525</v>
      </c>
      <c r="G18">
        <v>117635</v>
      </c>
      <c r="H18">
        <v>2</v>
      </c>
      <c r="I18" t="s">
        <v>89</v>
      </c>
      <c r="J18" t="s">
        <v>88</v>
      </c>
      <c r="K18">
        <v>11</v>
      </c>
      <c r="L18" s="3">
        <v>1.7988425925925926</v>
      </c>
      <c r="M18">
        <v>693</v>
      </c>
    </row>
    <row r="19" spans="2:13" x14ac:dyDescent="0.25">
      <c r="B19">
        <v>14</v>
      </c>
      <c r="C19">
        <v>62865</v>
      </c>
      <c r="D19">
        <v>31430</v>
      </c>
      <c r="E19">
        <v>62865</v>
      </c>
      <c r="F19">
        <v>39290</v>
      </c>
      <c r="G19">
        <v>196450</v>
      </c>
      <c r="H19">
        <v>2</v>
      </c>
      <c r="I19" t="s">
        <v>90</v>
      </c>
      <c r="J19" t="s">
        <v>91</v>
      </c>
      <c r="K19">
        <v>13</v>
      </c>
      <c r="L19" s="3">
        <v>2.8804398148148151</v>
      </c>
      <c r="M19">
        <v>889</v>
      </c>
    </row>
    <row r="20" spans="2:13" x14ac:dyDescent="0.25">
      <c r="B20">
        <v>15</v>
      </c>
      <c r="C20">
        <v>104985</v>
      </c>
      <c r="D20">
        <v>52490</v>
      </c>
      <c r="E20">
        <v>104985</v>
      </c>
      <c r="F20">
        <v>65615</v>
      </c>
      <c r="G20">
        <v>328075</v>
      </c>
      <c r="H20">
        <v>2</v>
      </c>
      <c r="I20" t="s">
        <v>92</v>
      </c>
      <c r="J20" t="s">
        <v>90</v>
      </c>
      <c r="K20">
        <v>15</v>
      </c>
      <c r="L20" s="3">
        <v>4.6109953703703708</v>
      </c>
      <c r="M20">
        <v>1120</v>
      </c>
    </row>
    <row r="21" spans="2:13" x14ac:dyDescent="0.25">
      <c r="B21">
        <v>16</v>
      </c>
      <c r="C21">
        <v>175320</v>
      </c>
      <c r="D21">
        <v>87660</v>
      </c>
      <c r="E21">
        <v>175320</v>
      </c>
      <c r="F21">
        <v>109575</v>
      </c>
      <c r="G21">
        <v>547875</v>
      </c>
      <c r="H21">
        <v>3</v>
      </c>
      <c r="I21" t="s">
        <v>93</v>
      </c>
      <c r="J21" t="s">
        <v>94</v>
      </c>
      <c r="K21">
        <v>18</v>
      </c>
      <c r="L21" s="3">
        <v>7.3798611111111114</v>
      </c>
      <c r="M21">
        <v>1400</v>
      </c>
    </row>
    <row r="22" spans="2:13" x14ac:dyDescent="0.25">
      <c r="B22">
        <v>17</v>
      </c>
      <c r="C22">
        <v>292790</v>
      </c>
      <c r="D22">
        <v>146395</v>
      </c>
      <c r="E22">
        <v>292790</v>
      </c>
      <c r="F22">
        <v>182995</v>
      </c>
      <c r="G22">
        <v>914970</v>
      </c>
      <c r="H22">
        <v>3</v>
      </c>
      <c r="I22" t="s">
        <v>95</v>
      </c>
      <c r="J22" t="s">
        <v>96</v>
      </c>
      <c r="K22">
        <v>22</v>
      </c>
      <c r="L22" s="3">
        <v>11.810069444444444</v>
      </c>
      <c r="M22">
        <v>1820</v>
      </c>
    </row>
    <row r="23" spans="2:13" x14ac:dyDescent="0.25">
      <c r="B23">
        <v>18</v>
      </c>
      <c r="C23">
        <v>488955</v>
      </c>
      <c r="D23">
        <v>244480</v>
      </c>
      <c r="E23">
        <v>488955</v>
      </c>
      <c r="F23">
        <v>305600</v>
      </c>
      <c r="G23">
        <v>1527990</v>
      </c>
      <c r="H23">
        <v>3</v>
      </c>
      <c r="I23" t="s">
        <v>97</v>
      </c>
      <c r="J23" t="s">
        <v>98</v>
      </c>
      <c r="K23">
        <v>27</v>
      </c>
      <c r="L23" s="3">
        <v>18.89837962962963</v>
      </c>
      <c r="M23">
        <v>2240</v>
      </c>
    </row>
    <row r="24" spans="2:13" x14ac:dyDescent="0.25">
      <c r="B24">
        <v>19</v>
      </c>
      <c r="C24">
        <v>816555</v>
      </c>
      <c r="D24">
        <v>408280</v>
      </c>
      <c r="E24">
        <v>816555</v>
      </c>
      <c r="F24">
        <v>510350</v>
      </c>
      <c r="G24">
        <v>2551740</v>
      </c>
      <c r="H24">
        <v>3</v>
      </c>
      <c r="I24" t="s">
        <v>99</v>
      </c>
      <c r="J24" t="s">
        <v>100</v>
      </c>
      <c r="K24">
        <v>32</v>
      </c>
      <c r="L24" s="3">
        <v>30.239699074074071</v>
      </c>
      <c r="M24">
        <v>2800</v>
      </c>
    </row>
    <row r="25" spans="2:13" x14ac:dyDescent="0.25">
      <c r="B25">
        <v>20</v>
      </c>
      <c r="C25">
        <v>1363650</v>
      </c>
      <c r="D25">
        <v>681825</v>
      </c>
      <c r="E25">
        <v>1363650</v>
      </c>
      <c r="F25">
        <v>852280</v>
      </c>
      <c r="G25">
        <v>4261405</v>
      </c>
      <c r="H25">
        <v>3</v>
      </c>
      <c r="I25" t="s">
        <v>101</v>
      </c>
      <c r="J25" t="s">
        <v>102</v>
      </c>
      <c r="K25">
        <v>38</v>
      </c>
      <c r="L25" s="3">
        <v>48.385879629629635</v>
      </c>
      <c r="M25">
        <v>3430</v>
      </c>
    </row>
    <row r="26" spans="2:13" x14ac:dyDescent="0.25">
      <c r="B26">
        <v>21</v>
      </c>
      <c r="C26">
        <v>2277295</v>
      </c>
      <c r="D26">
        <v>1138650</v>
      </c>
      <c r="E26">
        <v>2277295</v>
      </c>
      <c r="F26">
        <v>1423310</v>
      </c>
      <c r="G26">
        <v>7116550</v>
      </c>
      <c r="H26">
        <v>3</v>
      </c>
      <c r="I26" t="s">
        <v>103</v>
      </c>
      <c r="J26" t="s">
        <v>104</v>
      </c>
      <c r="K26">
        <v>46</v>
      </c>
      <c r="L26" s="3">
        <v>77.41967592592593</v>
      </c>
      <c r="M26">
        <v>4270</v>
      </c>
    </row>
    <row r="27" spans="2:13" x14ac:dyDescent="0.25">
      <c r="B27">
        <v>22</v>
      </c>
      <c r="C27">
        <v>3803085</v>
      </c>
      <c r="D27">
        <v>1901540</v>
      </c>
      <c r="E27">
        <v>3803085</v>
      </c>
      <c r="F27">
        <v>2376925</v>
      </c>
      <c r="G27">
        <v>11884635</v>
      </c>
      <c r="H27">
        <v>3</v>
      </c>
      <c r="I27" t="s">
        <v>105</v>
      </c>
      <c r="J27" t="s">
        <v>106</v>
      </c>
      <c r="K27">
        <v>55</v>
      </c>
      <c r="L27" s="3">
        <v>123.87372685185186</v>
      </c>
      <c r="M27">
        <v>5250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5:M27"/>
  <sheetViews>
    <sheetView workbookViewId="0">
      <selection activeCell="B5" sqref="B5:M27"/>
    </sheetView>
  </sheetViews>
  <sheetFormatPr defaultRowHeight="15" x14ac:dyDescent="0.25"/>
  <sheetData>
    <row r="5" spans="2:13" x14ac:dyDescent="0.25">
      <c r="B5" t="s">
        <v>0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</v>
      </c>
      <c r="L5" t="s">
        <v>11</v>
      </c>
      <c r="M5" t="s">
        <v>69</v>
      </c>
    </row>
    <row r="6" spans="2:13" x14ac:dyDescent="0.25">
      <c r="B6">
        <v>1</v>
      </c>
      <c r="C6">
        <v>100</v>
      </c>
      <c r="D6">
        <v>80</v>
      </c>
      <c r="E6">
        <v>30</v>
      </c>
      <c r="F6">
        <v>60</v>
      </c>
      <c r="G6">
        <v>270</v>
      </c>
      <c r="H6">
        <v>3</v>
      </c>
      <c r="I6" t="s">
        <v>70</v>
      </c>
      <c r="J6" t="s">
        <v>70</v>
      </c>
      <c r="K6">
        <v>1</v>
      </c>
      <c r="L6" s="1">
        <v>5.208333333333333E-3</v>
      </c>
      <c r="M6">
        <v>7</v>
      </c>
    </row>
    <row r="7" spans="2:13" x14ac:dyDescent="0.25">
      <c r="B7">
        <v>2</v>
      </c>
      <c r="C7">
        <v>165</v>
      </c>
      <c r="D7">
        <v>135</v>
      </c>
      <c r="E7">
        <v>50</v>
      </c>
      <c r="F7">
        <v>100</v>
      </c>
      <c r="G7">
        <v>450</v>
      </c>
      <c r="H7">
        <v>2</v>
      </c>
      <c r="I7" t="s">
        <v>70</v>
      </c>
      <c r="J7" t="s">
        <v>70</v>
      </c>
      <c r="K7">
        <v>1</v>
      </c>
      <c r="L7" s="1">
        <v>1.064814814814815E-2</v>
      </c>
      <c r="M7">
        <v>13</v>
      </c>
    </row>
    <row r="8" spans="2:13" x14ac:dyDescent="0.25">
      <c r="B8">
        <v>3</v>
      </c>
      <c r="C8">
        <v>280</v>
      </c>
      <c r="D8">
        <v>225</v>
      </c>
      <c r="E8">
        <v>85</v>
      </c>
      <c r="F8">
        <v>165</v>
      </c>
      <c r="G8">
        <v>755</v>
      </c>
      <c r="H8">
        <v>2</v>
      </c>
      <c r="I8" t="s">
        <v>70</v>
      </c>
      <c r="J8" t="s">
        <v>70</v>
      </c>
      <c r="K8">
        <v>2</v>
      </c>
      <c r="L8" s="1">
        <v>1.9328703703703702E-2</v>
      </c>
      <c r="M8">
        <v>21</v>
      </c>
    </row>
    <row r="9" spans="2:13" x14ac:dyDescent="0.25">
      <c r="B9">
        <v>4</v>
      </c>
      <c r="C9">
        <v>465</v>
      </c>
      <c r="D9">
        <v>375</v>
      </c>
      <c r="E9">
        <v>140</v>
      </c>
      <c r="F9">
        <v>280</v>
      </c>
      <c r="G9">
        <v>1260</v>
      </c>
      <c r="H9">
        <v>2</v>
      </c>
      <c r="I9" t="s">
        <v>70</v>
      </c>
      <c r="J9" t="s">
        <v>70</v>
      </c>
      <c r="K9">
        <v>2</v>
      </c>
      <c r="L9" s="1">
        <v>3.3333333333333333E-2</v>
      </c>
      <c r="M9">
        <v>31</v>
      </c>
    </row>
    <row r="10" spans="2:13" x14ac:dyDescent="0.25">
      <c r="B10">
        <v>5</v>
      </c>
      <c r="C10">
        <v>780</v>
      </c>
      <c r="D10">
        <v>620</v>
      </c>
      <c r="E10">
        <v>235</v>
      </c>
      <c r="F10">
        <v>465</v>
      </c>
      <c r="G10">
        <v>2100</v>
      </c>
      <c r="H10">
        <v>2</v>
      </c>
      <c r="I10" t="s">
        <v>70</v>
      </c>
      <c r="J10" t="s">
        <v>70</v>
      </c>
      <c r="K10">
        <v>2</v>
      </c>
      <c r="L10" s="1">
        <v>5.5555555555555552E-2</v>
      </c>
      <c r="M10">
        <v>46</v>
      </c>
    </row>
    <row r="11" spans="2:13" x14ac:dyDescent="0.25">
      <c r="B11">
        <v>6</v>
      </c>
      <c r="C11">
        <v>1300</v>
      </c>
      <c r="D11">
        <v>1040</v>
      </c>
      <c r="E11">
        <v>390</v>
      </c>
      <c r="F11">
        <v>780</v>
      </c>
      <c r="G11">
        <v>3510</v>
      </c>
      <c r="H11">
        <v>2</v>
      </c>
      <c r="I11" t="s">
        <v>12</v>
      </c>
      <c r="J11" t="s">
        <v>70</v>
      </c>
      <c r="K11">
        <v>3</v>
      </c>
      <c r="L11" s="1">
        <v>9.1203703703703717E-2</v>
      </c>
      <c r="M11">
        <v>70</v>
      </c>
    </row>
    <row r="12" spans="2:13" x14ac:dyDescent="0.25">
      <c r="B12">
        <v>7</v>
      </c>
      <c r="C12">
        <v>2170</v>
      </c>
      <c r="D12">
        <v>1735</v>
      </c>
      <c r="E12">
        <v>650</v>
      </c>
      <c r="F12">
        <v>1300</v>
      </c>
      <c r="G12">
        <v>5855</v>
      </c>
      <c r="H12">
        <v>2</v>
      </c>
      <c r="I12" t="s">
        <v>71</v>
      </c>
      <c r="J12" t="s">
        <v>12</v>
      </c>
      <c r="K12">
        <v>4</v>
      </c>
      <c r="L12" s="1">
        <v>0.14826388888888889</v>
      </c>
      <c r="M12">
        <v>98</v>
      </c>
    </row>
    <row r="13" spans="2:13" x14ac:dyDescent="0.25">
      <c r="B13">
        <v>8</v>
      </c>
      <c r="C13">
        <v>3625</v>
      </c>
      <c r="D13">
        <v>2900</v>
      </c>
      <c r="E13">
        <v>1085</v>
      </c>
      <c r="F13">
        <v>2175</v>
      </c>
      <c r="G13">
        <v>9785</v>
      </c>
      <c r="H13">
        <v>2</v>
      </c>
      <c r="I13" t="s">
        <v>72</v>
      </c>
      <c r="J13" t="s">
        <v>71</v>
      </c>
      <c r="K13">
        <v>4</v>
      </c>
      <c r="L13" s="1">
        <v>0.23946759259259257</v>
      </c>
      <c r="M13">
        <v>140</v>
      </c>
    </row>
    <row r="14" spans="2:13" x14ac:dyDescent="0.25">
      <c r="B14">
        <v>9</v>
      </c>
      <c r="C14">
        <v>6050</v>
      </c>
      <c r="D14">
        <v>4840</v>
      </c>
      <c r="E14">
        <v>1815</v>
      </c>
      <c r="F14">
        <v>3630</v>
      </c>
      <c r="G14">
        <v>16335</v>
      </c>
      <c r="H14">
        <v>2</v>
      </c>
      <c r="I14" t="s">
        <v>15</v>
      </c>
      <c r="J14" t="s">
        <v>72</v>
      </c>
      <c r="K14">
        <v>5</v>
      </c>
      <c r="L14" s="1">
        <v>0.38553240740740741</v>
      </c>
      <c r="M14">
        <v>203</v>
      </c>
    </row>
    <row r="15" spans="2:13" x14ac:dyDescent="0.25">
      <c r="B15">
        <v>10</v>
      </c>
      <c r="C15">
        <v>10105</v>
      </c>
      <c r="D15">
        <v>8080</v>
      </c>
      <c r="E15">
        <v>3030</v>
      </c>
      <c r="F15">
        <v>6060</v>
      </c>
      <c r="G15">
        <v>27275</v>
      </c>
      <c r="H15">
        <v>2</v>
      </c>
      <c r="I15" t="s">
        <v>73</v>
      </c>
      <c r="J15" t="s">
        <v>15</v>
      </c>
      <c r="K15">
        <v>6</v>
      </c>
      <c r="L15" s="1">
        <v>0.61921296296296291</v>
      </c>
      <c r="M15">
        <v>280</v>
      </c>
    </row>
    <row r="16" spans="2:13" x14ac:dyDescent="0.25">
      <c r="B16">
        <v>11</v>
      </c>
      <c r="C16">
        <v>16870</v>
      </c>
      <c r="D16">
        <v>13500</v>
      </c>
      <c r="E16">
        <v>5060</v>
      </c>
      <c r="F16">
        <v>10125</v>
      </c>
      <c r="G16">
        <v>45555</v>
      </c>
      <c r="H16">
        <v>3</v>
      </c>
      <c r="I16" t="s">
        <v>17</v>
      </c>
      <c r="J16" t="s">
        <v>73</v>
      </c>
      <c r="K16">
        <v>7</v>
      </c>
      <c r="L16" s="1">
        <v>0.99305555555555547</v>
      </c>
      <c r="M16">
        <v>392</v>
      </c>
    </row>
    <row r="17" spans="2:13" x14ac:dyDescent="0.25">
      <c r="B17">
        <v>12</v>
      </c>
      <c r="C17">
        <v>28175</v>
      </c>
      <c r="D17">
        <v>22540</v>
      </c>
      <c r="E17">
        <v>8455</v>
      </c>
      <c r="F17">
        <v>16905</v>
      </c>
      <c r="G17">
        <v>76075</v>
      </c>
      <c r="H17">
        <v>3</v>
      </c>
      <c r="I17" t="s">
        <v>74</v>
      </c>
      <c r="J17" t="s">
        <v>17</v>
      </c>
      <c r="K17">
        <v>9</v>
      </c>
      <c r="L17" s="3">
        <v>1.5910879629629628</v>
      </c>
      <c r="M17">
        <v>525</v>
      </c>
    </row>
    <row r="18" spans="2:13" x14ac:dyDescent="0.25">
      <c r="B18">
        <v>13</v>
      </c>
      <c r="C18">
        <v>47055</v>
      </c>
      <c r="D18">
        <v>37645</v>
      </c>
      <c r="E18">
        <v>14115</v>
      </c>
      <c r="F18">
        <v>28230</v>
      </c>
      <c r="G18">
        <v>127045</v>
      </c>
      <c r="H18">
        <v>3</v>
      </c>
      <c r="I18" t="s">
        <v>75</v>
      </c>
      <c r="J18" t="s">
        <v>74</v>
      </c>
      <c r="K18">
        <v>11</v>
      </c>
      <c r="L18" s="3">
        <v>2.5481481481481483</v>
      </c>
      <c r="M18">
        <v>693</v>
      </c>
    </row>
    <row r="19" spans="2:13" x14ac:dyDescent="0.25">
      <c r="B19">
        <v>14</v>
      </c>
      <c r="C19">
        <v>78580</v>
      </c>
      <c r="D19">
        <v>62865</v>
      </c>
      <c r="E19">
        <v>23575</v>
      </c>
      <c r="F19">
        <v>47150</v>
      </c>
      <c r="G19">
        <v>212170</v>
      </c>
      <c r="H19">
        <v>3</v>
      </c>
      <c r="I19" t="s">
        <v>76</v>
      </c>
      <c r="J19" t="s">
        <v>75</v>
      </c>
      <c r="K19">
        <v>13</v>
      </c>
      <c r="L19" s="3">
        <v>4.0792824074074074</v>
      </c>
      <c r="M19">
        <v>889</v>
      </c>
    </row>
    <row r="20" spans="2:13" x14ac:dyDescent="0.25">
      <c r="B20">
        <v>15</v>
      </c>
      <c r="C20">
        <v>131230</v>
      </c>
      <c r="D20">
        <v>104985</v>
      </c>
      <c r="E20">
        <v>39370</v>
      </c>
      <c r="F20">
        <v>78740</v>
      </c>
      <c r="G20">
        <v>354325</v>
      </c>
      <c r="H20">
        <v>3</v>
      </c>
      <c r="I20" t="s">
        <v>77</v>
      </c>
      <c r="J20" t="s">
        <v>76</v>
      </c>
      <c r="K20">
        <v>15</v>
      </c>
      <c r="L20" s="3">
        <v>6.5291666666666659</v>
      </c>
      <c r="M20">
        <v>1120</v>
      </c>
    </row>
    <row r="21" spans="2:13" x14ac:dyDescent="0.25">
      <c r="B21">
        <v>16</v>
      </c>
      <c r="C21">
        <v>219155</v>
      </c>
      <c r="D21">
        <v>175320</v>
      </c>
      <c r="E21">
        <v>65745</v>
      </c>
      <c r="F21">
        <v>131490</v>
      </c>
      <c r="G21">
        <v>591710</v>
      </c>
      <c r="H21">
        <v>3</v>
      </c>
      <c r="I21" t="s">
        <v>78</v>
      </c>
      <c r="J21" t="s">
        <v>77</v>
      </c>
      <c r="K21">
        <v>18</v>
      </c>
      <c r="L21" s="3">
        <v>10.448958333333334</v>
      </c>
      <c r="M21">
        <v>1400</v>
      </c>
    </row>
    <row r="22" spans="2:13" x14ac:dyDescent="0.25">
      <c r="B22">
        <v>17</v>
      </c>
      <c r="C22">
        <v>365985</v>
      </c>
      <c r="D22">
        <v>292790</v>
      </c>
      <c r="E22">
        <v>109795</v>
      </c>
      <c r="F22">
        <v>219590</v>
      </c>
      <c r="G22">
        <v>988160</v>
      </c>
      <c r="H22">
        <v>3</v>
      </c>
      <c r="I22" t="s">
        <v>79</v>
      </c>
      <c r="J22" t="s">
        <v>78</v>
      </c>
      <c r="K22">
        <v>22</v>
      </c>
      <c r="L22" s="3">
        <v>16.72060185185185</v>
      </c>
      <c r="M22">
        <v>1820</v>
      </c>
    </row>
    <row r="23" spans="2:13" x14ac:dyDescent="0.25">
      <c r="B23">
        <v>18</v>
      </c>
      <c r="C23">
        <v>611195</v>
      </c>
      <c r="D23">
        <v>488955</v>
      </c>
      <c r="E23">
        <v>183360</v>
      </c>
      <c r="F23">
        <v>366715</v>
      </c>
      <c r="G23">
        <v>1650225</v>
      </c>
      <c r="H23">
        <v>3</v>
      </c>
      <c r="I23" t="s">
        <v>80</v>
      </c>
      <c r="J23" t="s">
        <v>79</v>
      </c>
      <c r="K23">
        <v>27</v>
      </c>
      <c r="L23" s="3">
        <v>26.755324074074071</v>
      </c>
      <c r="M23">
        <v>2240</v>
      </c>
    </row>
    <row r="24" spans="2:13" x14ac:dyDescent="0.25">
      <c r="B24">
        <v>19</v>
      </c>
      <c r="C24">
        <v>1020695</v>
      </c>
      <c r="D24">
        <v>816555</v>
      </c>
      <c r="E24">
        <v>306210</v>
      </c>
      <c r="F24">
        <v>612420</v>
      </c>
      <c r="G24">
        <v>2755880</v>
      </c>
      <c r="H24">
        <v>3</v>
      </c>
      <c r="I24" t="s">
        <v>81</v>
      </c>
      <c r="J24" t="s">
        <v>80</v>
      </c>
      <c r="K24">
        <v>32</v>
      </c>
      <c r="L24" s="3">
        <v>42.810763888888886</v>
      </c>
      <c r="M24">
        <v>2800</v>
      </c>
    </row>
    <row r="25" spans="2:13" x14ac:dyDescent="0.25">
      <c r="B25">
        <v>20</v>
      </c>
      <c r="C25">
        <v>1704565</v>
      </c>
      <c r="D25">
        <v>1363650</v>
      </c>
      <c r="E25">
        <v>511370</v>
      </c>
      <c r="F25">
        <v>1022740</v>
      </c>
      <c r="G25">
        <v>4602325</v>
      </c>
      <c r="H25">
        <v>3</v>
      </c>
      <c r="I25" t="s">
        <v>82</v>
      </c>
      <c r="J25" t="s">
        <v>81</v>
      </c>
      <c r="K25">
        <v>38</v>
      </c>
      <c r="L25" s="3">
        <v>68.499652777777769</v>
      </c>
      <c r="M25">
        <v>3430</v>
      </c>
    </row>
    <row r="26" spans="2:13" x14ac:dyDescent="0.25">
      <c r="B26">
        <v>21</v>
      </c>
      <c r="C26">
        <v>2846620</v>
      </c>
      <c r="D26">
        <v>2277295</v>
      </c>
      <c r="E26">
        <v>853985</v>
      </c>
      <c r="F26">
        <v>1707970</v>
      </c>
      <c r="G26">
        <v>7685870</v>
      </c>
      <c r="H26">
        <v>4</v>
      </c>
      <c r="I26" t="s">
        <v>83</v>
      </c>
      <c r="J26" t="s">
        <v>84</v>
      </c>
      <c r="K26">
        <v>46</v>
      </c>
      <c r="L26" s="3">
        <v>109.60173611111111</v>
      </c>
      <c r="M26">
        <v>4270</v>
      </c>
    </row>
    <row r="27" spans="2:13" x14ac:dyDescent="0.25">
      <c r="B27">
        <v>22</v>
      </c>
      <c r="C27">
        <v>4753855</v>
      </c>
      <c r="D27">
        <v>3803085</v>
      </c>
      <c r="E27">
        <v>1426155</v>
      </c>
      <c r="F27">
        <v>2852315</v>
      </c>
      <c r="G27">
        <v>12835410</v>
      </c>
      <c r="H27">
        <v>4</v>
      </c>
      <c r="I27" t="s">
        <v>85</v>
      </c>
      <c r="J27" t="s">
        <v>83</v>
      </c>
      <c r="K27">
        <v>55</v>
      </c>
      <c r="L27" s="3">
        <v>175.3650462962963</v>
      </c>
      <c r="M27">
        <v>5250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5:M27"/>
  <sheetViews>
    <sheetView workbookViewId="0">
      <selection activeCell="F29" sqref="F29"/>
    </sheetView>
  </sheetViews>
  <sheetFormatPr defaultRowHeight="15" x14ac:dyDescent="0.25"/>
  <sheetData>
    <row r="5" spans="2:13" x14ac:dyDescent="0.25">
      <c r="B5" t="s">
        <v>0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</v>
      </c>
      <c r="L5" t="s">
        <v>11</v>
      </c>
      <c r="M5" t="s">
        <v>69</v>
      </c>
    </row>
    <row r="6" spans="2:13" x14ac:dyDescent="0.25">
      <c r="B6">
        <v>1</v>
      </c>
      <c r="C6">
        <v>70</v>
      </c>
      <c r="D6">
        <v>90</v>
      </c>
      <c r="E6">
        <v>70</v>
      </c>
      <c r="F6">
        <v>20</v>
      </c>
      <c r="G6">
        <v>250</v>
      </c>
      <c r="H6">
        <v>0</v>
      </c>
      <c r="I6" t="s">
        <v>70</v>
      </c>
      <c r="J6" t="s">
        <v>70</v>
      </c>
      <c r="K6">
        <v>1</v>
      </c>
      <c r="L6" s="1">
        <v>1.736111111111111E-3</v>
      </c>
      <c r="M6">
        <v>7</v>
      </c>
    </row>
    <row r="7" spans="2:13" x14ac:dyDescent="0.25">
      <c r="B7">
        <v>2</v>
      </c>
      <c r="C7">
        <v>115</v>
      </c>
      <c r="D7">
        <v>150</v>
      </c>
      <c r="E7">
        <v>115</v>
      </c>
      <c r="F7">
        <v>35</v>
      </c>
      <c r="G7">
        <v>415</v>
      </c>
      <c r="H7">
        <v>0</v>
      </c>
      <c r="I7" t="s">
        <v>70</v>
      </c>
      <c r="J7" t="s">
        <v>70</v>
      </c>
      <c r="K7">
        <v>1</v>
      </c>
      <c r="L7" s="1">
        <v>5.0925925925925921E-3</v>
      </c>
      <c r="M7">
        <v>13</v>
      </c>
    </row>
    <row r="8" spans="2:13" x14ac:dyDescent="0.25">
      <c r="B8">
        <v>3</v>
      </c>
      <c r="C8">
        <v>195</v>
      </c>
      <c r="D8">
        <v>250</v>
      </c>
      <c r="E8">
        <v>195</v>
      </c>
      <c r="F8">
        <v>55</v>
      </c>
      <c r="G8">
        <v>695</v>
      </c>
      <c r="H8">
        <v>0</v>
      </c>
      <c r="I8" t="s">
        <v>70</v>
      </c>
      <c r="J8" t="s">
        <v>70</v>
      </c>
      <c r="K8">
        <v>2</v>
      </c>
      <c r="L8" s="1">
        <v>1.0416666666666666E-2</v>
      </c>
      <c r="M8">
        <v>21</v>
      </c>
    </row>
    <row r="9" spans="2:13" x14ac:dyDescent="0.25">
      <c r="B9">
        <v>4</v>
      </c>
      <c r="C9">
        <v>325</v>
      </c>
      <c r="D9">
        <v>420</v>
      </c>
      <c r="E9">
        <v>325</v>
      </c>
      <c r="F9">
        <v>95</v>
      </c>
      <c r="G9">
        <v>1165</v>
      </c>
      <c r="H9">
        <v>0</v>
      </c>
      <c r="I9" t="s">
        <v>70</v>
      </c>
      <c r="J9" t="s">
        <v>70</v>
      </c>
      <c r="K9">
        <v>2</v>
      </c>
      <c r="L9" s="1">
        <v>1.909722222222222E-2</v>
      </c>
      <c r="M9">
        <v>31</v>
      </c>
    </row>
    <row r="10" spans="2:13" x14ac:dyDescent="0.25">
      <c r="B10">
        <v>5</v>
      </c>
      <c r="C10">
        <v>545</v>
      </c>
      <c r="D10">
        <v>700</v>
      </c>
      <c r="E10">
        <v>545</v>
      </c>
      <c r="F10">
        <v>155</v>
      </c>
      <c r="G10">
        <v>1945</v>
      </c>
      <c r="H10">
        <v>0</v>
      </c>
      <c r="I10" t="s">
        <v>70</v>
      </c>
      <c r="J10" t="s">
        <v>70</v>
      </c>
      <c r="K10">
        <v>2</v>
      </c>
      <c r="L10" s="1">
        <v>3.2754629629629627E-2</v>
      </c>
      <c r="M10">
        <v>46</v>
      </c>
    </row>
    <row r="11" spans="2:13" x14ac:dyDescent="0.25">
      <c r="B11">
        <v>6</v>
      </c>
      <c r="C11">
        <v>910</v>
      </c>
      <c r="D11">
        <v>1170</v>
      </c>
      <c r="E11">
        <v>910</v>
      </c>
      <c r="F11">
        <v>260</v>
      </c>
      <c r="G11">
        <v>3250</v>
      </c>
      <c r="H11">
        <v>1</v>
      </c>
      <c r="I11" t="s">
        <v>86</v>
      </c>
      <c r="J11" t="s">
        <v>70</v>
      </c>
      <c r="K11">
        <v>3</v>
      </c>
      <c r="L11" s="1">
        <v>5.4745370370370368E-2</v>
      </c>
      <c r="M11">
        <v>70</v>
      </c>
    </row>
    <row r="12" spans="2:13" x14ac:dyDescent="0.25">
      <c r="B12">
        <v>7</v>
      </c>
      <c r="C12">
        <v>1520</v>
      </c>
      <c r="D12">
        <v>1950</v>
      </c>
      <c r="E12">
        <v>1520</v>
      </c>
      <c r="F12">
        <v>435</v>
      </c>
      <c r="G12">
        <v>5425</v>
      </c>
      <c r="H12">
        <v>1</v>
      </c>
      <c r="I12" t="s">
        <v>71</v>
      </c>
      <c r="J12" t="s">
        <v>70</v>
      </c>
      <c r="K12">
        <v>4</v>
      </c>
      <c r="L12" s="1">
        <v>9.0046296296296291E-2</v>
      </c>
      <c r="M12">
        <v>98</v>
      </c>
    </row>
    <row r="13" spans="2:13" x14ac:dyDescent="0.25">
      <c r="B13">
        <v>8</v>
      </c>
      <c r="C13">
        <v>2535</v>
      </c>
      <c r="D13">
        <v>3260</v>
      </c>
      <c r="E13">
        <v>2535</v>
      </c>
      <c r="F13">
        <v>725</v>
      </c>
      <c r="G13">
        <v>9055</v>
      </c>
      <c r="H13">
        <v>1</v>
      </c>
      <c r="I13" t="s">
        <v>72</v>
      </c>
      <c r="J13" t="s">
        <v>70</v>
      </c>
      <c r="K13">
        <v>4</v>
      </c>
      <c r="L13" s="1">
        <v>0.14629629629629629</v>
      </c>
      <c r="M13">
        <v>140</v>
      </c>
    </row>
    <row r="14" spans="2:13" x14ac:dyDescent="0.25">
      <c r="B14">
        <v>9</v>
      </c>
      <c r="C14">
        <v>4235</v>
      </c>
      <c r="D14">
        <v>5445</v>
      </c>
      <c r="E14">
        <v>4235</v>
      </c>
      <c r="F14">
        <v>1210</v>
      </c>
      <c r="G14">
        <v>15125</v>
      </c>
      <c r="H14">
        <v>1</v>
      </c>
      <c r="I14" t="s">
        <v>15</v>
      </c>
      <c r="J14" t="s">
        <v>12</v>
      </c>
      <c r="K14">
        <v>5</v>
      </c>
      <c r="L14" s="1">
        <v>0.23645833333333333</v>
      </c>
      <c r="M14">
        <v>203</v>
      </c>
    </row>
    <row r="15" spans="2:13" x14ac:dyDescent="0.25">
      <c r="B15">
        <v>10</v>
      </c>
      <c r="C15">
        <v>7070</v>
      </c>
      <c r="D15">
        <v>9095</v>
      </c>
      <c r="E15">
        <v>7070</v>
      </c>
      <c r="F15">
        <v>2020</v>
      </c>
      <c r="G15">
        <v>25255</v>
      </c>
      <c r="H15">
        <v>1</v>
      </c>
      <c r="I15" t="s">
        <v>16</v>
      </c>
      <c r="J15" t="s">
        <v>71</v>
      </c>
      <c r="K15">
        <v>6</v>
      </c>
      <c r="L15" s="1">
        <v>0.38055555555555554</v>
      </c>
      <c r="M15">
        <v>280</v>
      </c>
    </row>
    <row r="16" spans="2:13" x14ac:dyDescent="0.25">
      <c r="B16">
        <v>11</v>
      </c>
      <c r="C16">
        <v>11810</v>
      </c>
      <c r="D16">
        <v>15185</v>
      </c>
      <c r="E16">
        <v>11810</v>
      </c>
      <c r="F16">
        <v>3375</v>
      </c>
      <c r="G16">
        <v>42180</v>
      </c>
      <c r="H16">
        <v>1</v>
      </c>
      <c r="I16" t="s">
        <v>17</v>
      </c>
      <c r="J16" t="s">
        <v>72</v>
      </c>
      <c r="K16">
        <v>7</v>
      </c>
      <c r="L16" s="1">
        <v>0.61122685185185188</v>
      </c>
      <c r="M16">
        <v>392</v>
      </c>
    </row>
    <row r="17" spans="2:13" x14ac:dyDescent="0.25">
      <c r="B17">
        <v>12</v>
      </c>
      <c r="C17">
        <v>19725</v>
      </c>
      <c r="D17">
        <v>25360</v>
      </c>
      <c r="E17">
        <v>19725</v>
      </c>
      <c r="F17">
        <v>5635</v>
      </c>
      <c r="G17">
        <v>70445</v>
      </c>
      <c r="H17">
        <v>1</v>
      </c>
      <c r="I17" t="s">
        <v>88</v>
      </c>
      <c r="J17" t="s">
        <v>15</v>
      </c>
      <c r="K17">
        <v>9</v>
      </c>
      <c r="L17" s="1">
        <v>0.98032407407407407</v>
      </c>
      <c r="M17">
        <v>525</v>
      </c>
    </row>
    <row r="18" spans="2:13" x14ac:dyDescent="0.25">
      <c r="B18">
        <v>13</v>
      </c>
      <c r="C18">
        <v>32940</v>
      </c>
      <c r="D18">
        <v>42350</v>
      </c>
      <c r="E18">
        <v>32940</v>
      </c>
      <c r="F18">
        <v>9410</v>
      </c>
      <c r="G18">
        <v>117640</v>
      </c>
      <c r="H18">
        <v>1</v>
      </c>
      <c r="I18" t="s">
        <v>91</v>
      </c>
      <c r="J18" t="s">
        <v>16</v>
      </c>
      <c r="K18">
        <v>11</v>
      </c>
      <c r="L18" s="3">
        <v>1.5707175925925927</v>
      </c>
      <c r="M18">
        <v>693</v>
      </c>
    </row>
    <row r="19" spans="2:13" x14ac:dyDescent="0.25">
      <c r="B19">
        <v>14</v>
      </c>
      <c r="C19">
        <v>55005</v>
      </c>
      <c r="D19">
        <v>70720</v>
      </c>
      <c r="E19">
        <v>55005</v>
      </c>
      <c r="F19">
        <v>15715</v>
      </c>
      <c r="G19">
        <v>196445</v>
      </c>
      <c r="H19">
        <v>1</v>
      </c>
      <c r="I19" t="s">
        <v>76</v>
      </c>
      <c r="J19" t="s">
        <v>17</v>
      </c>
      <c r="K19">
        <v>13</v>
      </c>
      <c r="L19" s="3">
        <v>2.5155092592592592</v>
      </c>
      <c r="M19">
        <v>889</v>
      </c>
    </row>
    <row r="20" spans="2:13" x14ac:dyDescent="0.25">
      <c r="B20">
        <v>15</v>
      </c>
      <c r="C20">
        <v>91860</v>
      </c>
      <c r="D20">
        <v>118105</v>
      </c>
      <c r="E20">
        <v>91860</v>
      </c>
      <c r="F20">
        <v>26245</v>
      </c>
      <c r="G20">
        <v>328070</v>
      </c>
      <c r="H20">
        <v>1</v>
      </c>
      <c r="I20" t="s">
        <v>107</v>
      </c>
      <c r="J20" t="s">
        <v>74</v>
      </c>
      <c r="K20">
        <v>15</v>
      </c>
      <c r="L20" s="3">
        <v>4.0271990740740735</v>
      </c>
      <c r="M20">
        <v>1120</v>
      </c>
    </row>
    <row r="21" spans="2:13" x14ac:dyDescent="0.25">
      <c r="B21">
        <v>16</v>
      </c>
      <c r="C21">
        <v>153405</v>
      </c>
      <c r="D21">
        <v>197240</v>
      </c>
      <c r="E21">
        <v>153405</v>
      </c>
      <c r="F21">
        <v>43830</v>
      </c>
      <c r="G21">
        <v>547880</v>
      </c>
      <c r="H21">
        <v>2</v>
      </c>
      <c r="I21" t="s">
        <v>108</v>
      </c>
      <c r="J21" t="s">
        <v>91</v>
      </c>
      <c r="K21">
        <v>18</v>
      </c>
      <c r="L21" s="3">
        <v>6.4457175925925929</v>
      </c>
      <c r="M21">
        <v>1400</v>
      </c>
    </row>
    <row r="22" spans="2:13" x14ac:dyDescent="0.25">
      <c r="B22">
        <v>17</v>
      </c>
      <c r="C22">
        <v>256190</v>
      </c>
      <c r="D22">
        <v>329385</v>
      </c>
      <c r="E22">
        <v>256190</v>
      </c>
      <c r="F22">
        <v>73195</v>
      </c>
      <c r="G22">
        <v>914960</v>
      </c>
      <c r="H22">
        <v>2</v>
      </c>
      <c r="I22" t="s">
        <v>109</v>
      </c>
      <c r="J22" t="s">
        <v>76</v>
      </c>
      <c r="K22">
        <v>22</v>
      </c>
      <c r="L22" s="3">
        <v>10.31550925925926</v>
      </c>
      <c r="M22">
        <v>1820</v>
      </c>
    </row>
    <row r="23" spans="2:13" x14ac:dyDescent="0.25">
      <c r="B23">
        <v>18</v>
      </c>
      <c r="C23">
        <v>427835</v>
      </c>
      <c r="D23">
        <v>550075</v>
      </c>
      <c r="E23">
        <v>427835</v>
      </c>
      <c r="F23">
        <v>122240</v>
      </c>
      <c r="G23">
        <v>1527985</v>
      </c>
      <c r="H23">
        <v>2</v>
      </c>
      <c r="I23" t="s">
        <v>110</v>
      </c>
      <c r="J23" t="s">
        <v>107</v>
      </c>
      <c r="K23">
        <v>27</v>
      </c>
      <c r="L23" s="3">
        <v>16.507060185185185</v>
      </c>
      <c r="M23">
        <v>2240</v>
      </c>
    </row>
    <row r="24" spans="2:13" x14ac:dyDescent="0.25">
      <c r="B24">
        <v>19</v>
      </c>
      <c r="C24">
        <v>714485</v>
      </c>
      <c r="D24">
        <v>918625</v>
      </c>
      <c r="E24">
        <v>714485</v>
      </c>
      <c r="F24">
        <v>204140</v>
      </c>
      <c r="G24">
        <v>2551735</v>
      </c>
      <c r="H24">
        <v>2</v>
      </c>
      <c r="I24" t="s">
        <v>111</v>
      </c>
      <c r="J24" t="s">
        <v>112</v>
      </c>
      <c r="K24">
        <v>32</v>
      </c>
      <c r="L24" s="3">
        <v>26.41365740740741</v>
      </c>
      <c r="M24">
        <v>2800</v>
      </c>
    </row>
    <row r="25" spans="2:13" x14ac:dyDescent="0.25">
      <c r="B25">
        <v>20</v>
      </c>
      <c r="C25">
        <v>1193195</v>
      </c>
      <c r="D25">
        <v>1534105</v>
      </c>
      <c r="E25">
        <v>1193195</v>
      </c>
      <c r="F25">
        <v>340915</v>
      </c>
      <c r="G25">
        <v>4261410</v>
      </c>
      <c r="H25">
        <v>2</v>
      </c>
      <c r="I25" t="s">
        <v>113</v>
      </c>
      <c r="J25" t="s">
        <v>114</v>
      </c>
      <c r="K25">
        <v>38</v>
      </c>
      <c r="L25" s="3">
        <v>42.26423611111111</v>
      </c>
      <c r="M25">
        <v>3430</v>
      </c>
    </row>
    <row r="26" spans="2:13" x14ac:dyDescent="0.25">
      <c r="B26">
        <v>21</v>
      </c>
      <c r="C26">
        <v>1992635</v>
      </c>
      <c r="D26">
        <v>2561960</v>
      </c>
      <c r="E26">
        <v>1992635</v>
      </c>
      <c r="F26">
        <v>569325</v>
      </c>
      <c r="G26">
        <v>7116555</v>
      </c>
      <c r="H26">
        <v>2</v>
      </c>
      <c r="I26" t="s">
        <v>115</v>
      </c>
      <c r="J26" t="s">
        <v>116</v>
      </c>
      <c r="K26">
        <v>46</v>
      </c>
      <c r="L26" s="3">
        <v>67.625115740740739</v>
      </c>
      <c r="M26">
        <v>4270</v>
      </c>
    </row>
    <row r="27" spans="2:13" x14ac:dyDescent="0.25">
      <c r="B27">
        <v>22</v>
      </c>
      <c r="C27">
        <v>3327700</v>
      </c>
      <c r="D27">
        <v>4278470</v>
      </c>
      <c r="E27">
        <v>3327700</v>
      </c>
      <c r="F27">
        <v>950770</v>
      </c>
      <c r="G27">
        <v>11884640</v>
      </c>
      <c r="H27">
        <v>2</v>
      </c>
      <c r="I27" t="s">
        <v>117</v>
      </c>
      <c r="J27" t="s">
        <v>118</v>
      </c>
      <c r="K27">
        <v>55</v>
      </c>
      <c r="L27" s="3">
        <v>108.20243055555555</v>
      </c>
      <c r="M27">
        <v>5250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5:M10"/>
  <sheetViews>
    <sheetView workbookViewId="0">
      <selection activeCell="E18" sqref="E18"/>
    </sheetView>
  </sheetViews>
  <sheetFormatPr defaultRowHeight="15" x14ac:dyDescent="0.25"/>
  <sheetData>
    <row r="5" spans="2:13" x14ac:dyDescent="0.25">
      <c r="B5" t="s">
        <v>0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</v>
      </c>
      <c r="L5" t="s">
        <v>11</v>
      </c>
      <c r="M5" t="s">
        <v>2</v>
      </c>
    </row>
    <row r="6" spans="2:13" x14ac:dyDescent="0.25">
      <c r="B6">
        <v>1</v>
      </c>
      <c r="C6">
        <v>520</v>
      </c>
      <c r="D6">
        <v>380</v>
      </c>
      <c r="E6">
        <v>290</v>
      </c>
      <c r="F6">
        <v>90</v>
      </c>
      <c r="G6">
        <v>1280</v>
      </c>
      <c r="H6">
        <v>4</v>
      </c>
      <c r="I6" t="s">
        <v>70</v>
      </c>
      <c r="J6" t="s">
        <v>70</v>
      </c>
      <c r="K6">
        <v>1</v>
      </c>
      <c r="L6" s="1">
        <v>3.4722222222222224E-2</v>
      </c>
      <c r="M6" s="2">
        <v>0.05</v>
      </c>
    </row>
    <row r="7" spans="2:13" x14ac:dyDescent="0.25">
      <c r="B7">
        <v>2</v>
      </c>
      <c r="C7">
        <v>935</v>
      </c>
      <c r="D7">
        <v>685</v>
      </c>
      <c r="E7">
        <v>520</v>
      </c>
      <c r="F7">
        <v>160</v>
      </c>
      <c r="G7">
        <v>2300</v>
      </c>
      <c r="H7">
        <v>2</v>
      </c>
      <c r="I7" t="s">
        <v>86</v>
      </c>
      <c r="J7" t="s">
        <v>70</v>
      </c>
      <c r="K7">
        <v>1</v>
      </c>
      <c r="L7" s="1">
        <v>6.5972222222222224E-2</v>
      </c>
      <c r="M7" s="2">
        <v>0.1</v>
      </c>
    </row>
    <row r="8" spans="2:13" x14ac:dyDescent="0.25">
      <c r="B8">
        <v>3</v>
      </c>
      <c r="C8">
        <v>1685</v>
      </c>
      <c r="D8">
        <v>1230</v>
      </c>
      <c r="E8">
        <v>940</v>
      </c>
      <c r="F8">
        <v>290</v>
      </c>
      <c r="G8">
        <v>4145</v>
      </c>
      <c r="H8">
        <v>2</v>
      </c>
      <c r="I8" t="s">
        <v>12</v>
      </c>
      <c r="J8" t="s">
        <v>70</v>
      </c>
      <c r="K8">
        <v>2</v>
      </c>
      <c r="L8" s="1">
        <v>0.11284722222222222</v>
      </c>
      <c r="M8" s="2">
        <v>0.15</v>
      </c>
    </row>
    <row r="9" spans="2:13" x14ac:dyDescent="0.25">
      <c r="B9">
        <v>4</v>
      </c>
      <c r="C9">
        <v>3035</v>
      </c>
      <c r="D9">
        <v>2215</v>
      </c>
      <c r="E9">
        <v>1690</v>
      </c>
      <c r="F9">
        <v>525</v>
      </c>
      <c r="G9">
        <v>7465</v>
      </c>
      <c r="H9">
        <v>2</v>
      </c>
      <c r="I9" t="s">
        <v>13</v>
      </c>
      <c r="J9" t="s">
        <v>70</v>
      </c>
      <c r="K9">
        <v>2</v>
      </c>
      <c r="L9" s="1">
        <v>0.1832175925925926</v>
      </c>
      <c r="M9" s="2">
        <v>0.2</v>
      </c>
    </row>
    <row r="10" spans="2:13" x14ac:dyDescent="0.25">
      <c r="B10">
        <v>5</v>
      </c>
      <c r="C10">
        <v>5460</v>
      </c>
      <c r="D10">
        <v>3990</v>
      </c>
      <c r="E10">
        <v>3045</v>
      </c>
      <c r="F10">
        <v>945</v>
      </c>
      <c r="G10">
        <v>13440</v>
      </c>
      <c r="H10">
        <v>2</v>
      </c>
      <c r="I10" t="s">
        <v>15</v>
      </c>
      <c r="J10" t="s">
        <v>86</v>
      </c>
      <c r="K10">
        <v>2</v>
      </c>
      <c r="L10" s="1">
        <v>0.28865740740740742</v>
      </c>
      <c r="M10" s="2">
        <v>0.25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5:M10"/>
  <sheetViews>
    <sheetView workbookViewId="0">
      <selection activeCell="B5" sqref="B5:M10"/>
    </sheetView>
  </sheetViews>
  <sheetFormatPr defaultRowHeight="15" x14ac:dyDescent="0.25"/>
  <sheetData>
    <row r="5" spans="2:13" x14ac:dyDescent="0.25">
      <c r="B5" t="s">
        <v>0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</v>
      </c>
      <c r="L5" t="s">
        <v>11</v>
      </c>
      <c r="M5" t="s">
        <v>2</v>
      </c>
    </row>
    <row r="6" spans="2:13" x14ac:dyDescent="0.25">
      <c r="B6">
        <v>1</v>
      </c>
      <c r="C6">
        <v>440</v>
      </c>
      <c r="D6">
        <v>480</v>
      </c>
      <c r="E6">
        <v>320</v>
      </c>
      <c r="F6">
        <v>50</v>
      </c>
      <c r="G6">
        <v>1290</v>
      </c>
      <c r="H6">
        <v>3</v>
      </c>
      <c r="I6" t="s">
        <v>70</v>
      </c>
      <c r="J6" t="s">
        <v>70</v>
      </c>
      <c r="K6">
        <v>1</v>
      </c>
      <c r="L6" s="1">
        <v>3.2870370370370376E-2</v>
      </c>
      <c r="M6" s="2">
        <v>0.05</v>
      </c>
    </row>
    <row r="7" spans="2:13" x14ac:dyDescent="0.25">
      <c r="B7">
        <v>2</v>
      </c>
      <c r="C7">
        <v>790</v>
      </c>
      <c r="D7">
        <v>865</v>
      </c>
      <c r="E7">
        <v>575</v>
      </c>
      <c r="F7">
        <v>90</v>
      </c>
      <c r="G7">
        <v>2320</v>
      </c>
      <c r="H7">
        <v>2</v>
      </c>
      <c r="I7" t="s">
        <v>86</v>
      </c>
      <c r="J7" t="s">
        <v>70</v>
      </c>
      <c r="K7">
        <v>1</v>
      </c>
      <c r="L7" s="1">
        <v>6.3194444444444442E-2</v>
      </c>
      <c r="M7" s="2">
        <v>0.1</v>
      </c>
    </row>
    <row r="8" spans="2:13" x14ac:dyDescent="0.25">
      <c r="B8">
        <v>3</v>
      </c>
      <c r="C8">
        <v>1425</v>
      </c>
      <c r="D8">
        <v>1555</v>
      </c>
      <c r="E8">
        <v>1035</v>
      </c>
      <c r="F8">
        <v>160</v>
      </c>
      <c r="G8">
        <v>4175</v>
      </c>
      <c r="H8">
        <v>2</v>
      </c>
      <c r="I8" t="s">
        <v>12</v>
      </c>
      <c r="J8" t="s">
        <v>70</v>
      </c>
      <c r="K8">
        <v>2</v>
      </c>
      <c r="L8" s="1">
        <v>0.10868055555555556</v>
      </c>
      <c r="M8" s="2">
        <v>0.15</v>
      </c>
    </row>
    <row r="9" spans="2:13" x14ac:dyDescent="0.25">
      <c r="B9">
        <v>4</v>
      </c>
      <c r="C9">
        <v>2565</v>
      </c>
      <c r="D9">
        <v>2800</v>
      </c>
      <c r="E9">
        <v>1865</v>
      </c>
      <c r="F9">
        <v>290</v>
      </c>
      <c r="G9">
        <v>7520</v>
      </c>
      <c r="H9">
        <v>2</v>
      </c>
      <c r="I9" t="s">
        <v>13</v>
      </c>
      <c r="J9" t="s">
        <v>70</v>
      </c>
      <c r="K9">
        <v>2</v>
      </c>
      <c r="L9" s="1">
        <v>0.17696759259259257</v>
      </c>
      <c r="M9" s="2">
        <v>0.2</v>
      </c>
    </row>
    <row r="10" spans="2:13" x14ac:dyDescent="0.25">
      <c r="B10">
        <v>5</v>
      </c>
      <c r="C10">
        <v>4620</v>
      </c>
      <c r="D10">
        <v>5040</v>
      </c>
      <c r="E10">
        <v>3360</v>
      </c>
      <c r="F10">
        <v>525</v>
      </c>
      <c r="G10">
        <v>13545</v>
      </c>
      <c r="H10">
        <v>2</v>
      </c>
      <c r="I10" t="s">
        <v>15</v>
      </c>
      <c r="J10" t="s">
        <v>70</v>
      </c>
      <c r="K10">
        <v>2</v>
      </c>
      <c r="L10" s="1">
        <v>0.2792824074074074</v>
      </c>
      <c r="M10" s="2">
        <v>0.25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5:M10"/>
  <sheetViews>
    <sheetView workbookViewId="0">
      <selection activeCell="H22" sqref="H22"/>
    </sheetView>
  </sheetViews>
  <sheetFormatPr defaultRowHeight="15" x14ac:dyDescent="0.25"/>
  <sheetData>
    <row r="5" spans="2:13" x14ac:dyDescent="0.25">
      <c r="B5" t="s">
        <v>0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</v>
      </c>
      <c r="L5" t="s">
        <v>11</v>
      </c>
      <c r="M5" t="s">
        <v>2</v>
      </c>
    </row>
    <row r="6" spans="2:13" x14ac:dyDescent="0.25">
      <c r="B6">
        <v>1</v>
      </c>
      <c r="C6">
        <v>200</v>
      </c>
      <c r="D6">
        <v>450</v>
      </c>
      <c r="E6">
        <v>510</v>
      </c>
      <c r="F6">
        <v>120</v>
      </c>
      <c r="G6">
        <v>1280</v>
      </c>
      <c r="H6">
        <v>6</v>
      </c>
      <c r="I6" t="s">
        <v>70</v>
      </c>
      <c r="J6" t="s">
        <v>70</v>
      </c>
      <c r="K6">
        <v>1</v>
      </c>
      <c r="L6" s="1">
        <v>4.7222222222222221E-2</v>
      </c>
      <c r="M6" s="2">
        <v>0.05</v>
      </c>
    </row>
    <row r="7" spans="2:13" x14ac:dyDescent="0.25">
      <c r="B7">
        <v>2</v>
      </c>
      <c r="C7">
        <v>360</v>
      </c>
      <c r="D7">
        <v>810</v>
      </c>
      <c r="E7">
        <v>920</v>
      </c>
      <c r="F7">
        <v>215</v>
      </c>
      <c r="G7">
        <v>2305</v>
      </c>
      <c r="H7">
        <v>3</v>
      </c>
      <c r="I7" t="s">
        <v>86</v>
      </c>
      <c r="J7" t="s">
        <v>70</v>
      </c>
      <c r="K7">
        <v>1</v>
      </c>
      <c r="L7" s="1">
        <v>8.4722222222222213E-2</v>
      </c>
      <c r="M7" s="2">
        <v>0.1</v>
      </c>
    </row>
    <row r="8" spans="2:13" x14ac:dyDescent="0.25">
      <c r="B8">
        <v>3</v>
      </c>
      <c r="C8">
        <v>650</v>
      </c>
      <c r="D8">
        <v>1460</v>
      </c>
      <c r="E8">
        <v>1650</v>
      </c>
      <c r="F8">
        <v>390</v>
      </c>
      <c r="G8">
        <v>4150</v>
      </c>
      <c r="H8">
        <v>3</v>
      </c>
      <c r="I8" t="s">
        <v>12</v>
      </c>
      <c r="J8" t="s">
        <v>70</v>
      </c>
      <c r="K8">
        <v>2</v>
      </c>
      <c r="L8" s="1">
        <v>0.14097222222222222</v>
      </c>
      <c r="M8" s="2">
        <v>0.15</v>
      </c>
    </row>
    <row r="9" spans="2:13" x14ac:dyDescent="0.25">
      <c r="B9">
        <v>4</v>
      </c>
      <c r="C9">
        <v>1165</v>
      </c>
      <c r="D9">
        <v>2625</v>
      </c>
      <c r="E9">
        <v>2975</v>
      </c>
      <c r="F9">
        <v>700</v>
      </c>
      <c r="G9">
        <v>7465</v>
      </c>
      <c r="H9">
        <v>3</v>
      </c>
      <c r="I9" t="s">
        <v>13</v>
      </c>
      <c r="J9" t="s">
        <v>70</v>
      </c>
      <c r="K9">
        <v>2</v>
      </c>
      <c r="L9" s="1">
        <v>0.22534722222222223</v>
      </c>
      <c r="M9" s="2">
        <v>0.2</v>
      </c>
    </row>
    <row r="10" spans="2:13" x14ac:dyDescent="0.25">
      <c r="B10">
        <v>5</v>
      </c>
      <c r="C10">
        <v>2100</v>
      </c>
      <c r="D10">
        <v>4725</v>
      </c>
      <c r="E10">
        <v>5355</v>
      </c>
      <c r="F10">
        <v>1260</v>
      </c>
      <c r="G10">
        <v>13440</v>
      </c>
      <c r="H10">
        <v>3</v>
      </c>
      <c r="I10" t="s">
        <v>15</v>
      </c>
      <c r="J10" t="s">
        <v>12</v>
      </c>
      <c r="K10">
        <v>2</v>
      </c>
      <c r="L10" s="1">
        <v>0.35196759259259264</v>
      </c>
      <c r="M10" s="2">
        <v>0.25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P30" sqref="P30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Index</vt:lpstr>
      <vt:lpstr>Woodcutter</vt:lpstr>
      <vt:lpstr>Clay Pit</vt:lpstr>
      <vt:lpstr>Iron Mine</vt:lpstr>
      <vt:lpstr>Cropland</vt:lpstr>
      <vt:lpstr>Sawmill</vt:lpstr>
      <vt:lpstr>Brickyard</vt:lpstr>
      <vt:lpstr>Iron Foundry</vt:lpstr>
      <vt:lpstr>Grain Mill</vt:lpstr>
      <vt:lpstr>Bakery</vt:lpstr>
      <vt:lpstr>Warehouse</vt:lpstr>
      <vt:lpstr>Granary</vt:lpstr>
      <vt:lpstr>Smithy</vt:lpstr>
      <vt:lpstr>Tournament Square</vt:lpstr>
      <vt:lpstr>Main Building</vt:lpstr>
      <vt:lpstr>Rally Point</vt:lpstr>
      <vt:lpstr>Marketplace</vt:lpstr>
      <vt:lpstr>Embassy</vt:lpstr>
      <vt:lpstr>Barracks</vt:lpstr>
      <vt:lpstr>Stable</vt:lpstr>
      <vt:lpstr>Workshop</vt:lpstr>
      <vt:lpstr>Academy</vt:lpstr>
      <vt:lpstr>Cranny</vt:lpstr>
      <vt:lpstr>Town Hall</vt:lpstr>
      <vt:lpstr>Residence</vt:lpstr>
      <vt:lpstr>Palace</vt:lpstr>
      <vt:lpstr>Treasury</vt:lpstr>
      <vt:lpstr>Trade Office</vt:lpstr>
      <vt:lpstr>Great Barracks</vt:lpstr>
      <vt:lpstr>Great Stable</vt:lpstr>
      <vt:lpstr>City Wall</vt:lpstr>
      <vt:lpstr>Earth Wall</vt:lpstr>
      <vt:lpstr>Palisade</vt:lpstr>
      <vt:lpstr>Stonemasons Lodge</vt:lpstr>
      <vt:lpstr>Brewery</vt:lpstr>
      <vt:lpstr>Trapper</vt:lpstr>
      <vt:lpstr>Heros Mansion</vt:lpstr>
      <vt:lpstr>Great Warehouse</vt:lpstr>
      <vt:lpstr>Great Granary</vt:lpstr>
      <vt:lpstr>Wonder of the World</vt:lpstr>
      <vt:lpstr>Horse Drinking Trough</vt:lpstr>
      <vt:lpstr>Stone Wall</vt:lpstr>
      <vt:lpstr>Command Center</vt:lpstr>
      <vt:lpstr>Makeshift Wall</vt:lpstr>
      <vt:lpstr>Waterworks</vt:lpstr>
      <vt:lpstr>Hospital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Nelis Volschenk</dc:creator>
  <cp:lastModifiedBy>Nelis Volschenk</cp:lastModifiedBy>
  <dcterms:created xsi:type="dcterms:W3CDTF">2021-07-22T10:22:33Z</dcterms:created>
  <dcterms:modified xsi:type="dcterms:W3CDTF">2022-07-27T08:51:29Z</dcterms:modified>
</cp:coreProperties>
</file>